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82978F29-38E6-4906-8E39-2C73FF0C694F}" xr6:coauthVersionLast="47" xr6:coauthVersionMax="47" xr10:uidLastSave="{00000000-0000-0000-0000-000000000000}"/>
  <bookViews>
    <workbookView xWindow="-108" yWindow="-108" windowWidth="23256" windowHeight="12456" tabRatio="541" xr2:uid="{00000000-000D-0000-FFFF-FFFF00000000}"/>
  </bookViews>
  <sheets>
    <sheet name="SORU LİSTESİ" sheetId="2" r:id="rId1"/>
  </sheets>
  <definedNames>
    <definedName name="_xlnm.Print_Area" localSheetId="0">'SORU LİSTESİ'!$C$2:$O$42</definedName>
    <definedName name="_xlnm.Print_Titles" localSheetId="0">'SORU LİSTESİ'!$2:$6</definedName>
  </definedNames>
  <calcPr calcId="191029"/>
</workbook>
</file>

<file path=xl/calcChain.xml><?xml version="1.0" encoding="utf-8"?>
<calcChain xmlns="http://schemas.openxmlformats.org/spreadsheetml/2006/main">
  <c r="D18" i="2" l="1"/>
  <c r="D40" i="2" l="1"/>
  <c r="D41" i="2" l="1"/>
  <c r="D39" i="2"/>
  <c r="H41" i="2"/>
  <c r="H40" i="2"/>
  <c r="H39" i="2"/>
  <c r="H38" i="2"/>
  <c r="H24" i="2"/>
  <c r="D38" i="2"/>
  <c r="D24" i="2"/>
  <c r="D23" i="2"/>
  <c r="D22" i="2"/>
  <c r="D21" i="2"/>
  <c r="D20" i="2"/>
  <c r="H19" i="2"/>
  <c r="D19" i="2"/>
  <c r="D17" i="2"/>
  <c r="D16" i="2"/>
  <c r="H23" i="2"/>
  <c r="H22" i="2"/>
  <c r="H21" i="2"/>
  <c r="H20" i="2"/>
  <c r="H18" i="2"/>
  <c r="H17" i="2"/>
  <c r="H15" i="2"/>
  <c r="H16" i="2"/>
  <c r="D15" i="2"/>
  <c r="H13" i="2"/>
  <c r="H14" i="2"/>
  <c r="D13" i="2"/>
  <c r="D14" i="2"/>
  <c r="H12" i="2"/>
  <c r="D12" i="2"/>
  <c r="H11" i="2"/>
  <c r="H10" i="2"/>
  <c r="D11" i="2"/>
  <c r="D10" i="2"/>
  <c r="H9" i="2"/>
  <c r="D9" i="2"/>
  <c r="H8" i="2"/>
  <c r="H7" i="2"/>
  <c r="D8" i="2"/>
  <c r="D7" i="2"/>
</calcChain>
</file>

<file path=xl/sharedStrings.xml><?xml version="1.0" encoding="utf-8"?>
<sst xmlns="http://schemas.openxmlformats.org/spreadsheetml/2006/main" count="164" uniqueCount="118">
  <si>
    <t>DENETİM  RAPORU</t>
  </si>
  <si>
    <t>GÖZLEM / DELİL</t>
  </si>
  <si>
    <t>BULGU</t>
  </si>
  <si>
    <t>Evet</t>
  </si>
  <si>
    <t>Majör</t>
  </si>
  <si>
    <t>Minör</t>
  </si>
  <si>
    <t>İyil.</t>
  </si>
  <si>
    <t>Şart No</t>
  </si>
  <si>
    <t>NO</t>
  </si>
  <si>
    <t>DF</t>
  </si>
  <si>
    <t>No</t>
  </si>
  <si>
    <t>TİP</t>
  </si>
  <si>
    <t>Denetçi(ler):</t>
  </si>
  <si>
    <t>4.4</t>
  </si>
  <si>
    <t>6.2</t>
  </si>
  <si>
    <t>6.1</t>
  </si>
  <si>
    <t>6.3</t>
  </si>
  <si>
    <t>9.2</t>
  </si>
  <si>
    <t>9.3</t>
  </si>
  <si>
    <t>10.2</t>
  </si>
  <si>
    <t>10.3</t>
  </si>
  <si>
    <t>7.4</t>
  </si>
  <si>
    <t>7.1.3</t>
  </si>
  <si>
    <t>7.1.4</t>
  </si>
  <si>
    <t>7.1.5</t>
  </si>
  <si>
    <t>5.2</t>
  </si>
  <si>
    <t>5.3</t>
  </si>
  <si>
    <t>7.1.2</t>
  </si>
  <si>
    <t>7.2</t>
  </si>
  <si>
    <t>7.3</t>
  </si>
  <si>
    <t>7.5</t>
  </si>
  <si>
    <t>9.1.1</t>
  </si>
  <si>
    <t>9.1.2</t>
  </si>
  <si>
    <t>9.1.3</t>
  </si>
  <si>
    <t xml:space="preserve">Kime </t>
  </si>
  <si>
    <t>Süreç Lideri:</t>
  </si>
  <si>
    <t xml:space="preserve">Süreç Adı: </t>
  </si>
  <si>
    <t>N/A</t>
  </si>
  <si>
    <t>N/A : Uygulanamaz (Non Applicable)</t>
  </si>
  <si>
    <t>SORU</t>
  </si>
  <si>
    <t>İşlemNo</t>
  </si>
  <si>
    <t>Satınalma Sorumlusu</t>
  </si>
  <si>
    <t xml:space="preserve">Satınalma Sor, Üretim&amp;Tasarım Yön.
</t>
  </si>
  <si>
    <t>8.4.1</t>
  </si>
  <si>
    <t xml:space="preserve">Tedarikçinin kalite ve teknik yeterliliği açısından değerlendirilme teknikleri tanımlı mıdır, Tedarikçiler için seçme,değerlendirme ve tekrar değerlendirme için kriterler belirli midir, Tedarikçi el Kitabı mevcut mudur, tedarikçiler ile paylaşılmakta mıdır?
</t>
  </si>
  <si>
    <t xml:space="preserve">Satınalma Sor, Üretim&amp;Tasarım Yön.
Gnel Müdür
Mali&amp; İdari İşler Yön.
Lojistik Yön.
</t>
  </si>
  <si>
    <t>Değerlendirme kriterlerini sağlayan tedarikçi kayıtları tutulmakta, onaylı tedarikçi kayıtlarına ulaşılabilmekte midir?</t>
  </si>
  <si>
    <t xml:space="preserve">Satınalma Sor
Kalite Sistem Yön.
</t>
  </si>
  <si>
    <t>8.4.1.1</t>
  </si>
  <si>
    <t xml:space="preserve">Potansiyel tedarikçi seçim kriteleri belirlenmiş midir? İletişim nasıl sağlanmaktadır? </t>
  </si>
  <si>
    <t>8.4.1.2</t>
  </si>
  <si>
    <t>Müşteri tarafından ilişkilendirilmiş kaynaklar ile ilgili uygulamalar iş standartlarında uygulama methodları belirlenmiş midir?</t>
  </si>
  <si>
    <t>8.4.1.3</t>
  </si>
  <si>
    <t>Satış&amp;Proje yöneticisi</t>
  </si>
  <si>
    <t xml:space="preserve">Hangi ürün ve hizmet için hangi satınalma işlemleri ile gerçekleştirileceği belirlenmiş midir? </t>
  </si>
  <si>
    <t>8.4.2</t>
  </si>
  <si>
    <t xml:space="preserve">Bölüm Sorumluları
</t>
  </si>
  <si>
    <t xml:space="preserve">Satınalma talep ve talep değerlendirme standartları tanımlanmış mıdır? </t>
  </si>
  <si>
    <t xml:space="preserve">Satınalma Sor., Genel Müdür, Mali&amp;İdari İşler Yön., Lojistik Yön. Üretim&amp;Tasarım yön.
</t>
  </si>
  <si>
    <t>Satınalma sorumlusu</t>
  </si>
  <si>
    <t>Tedarik Edlen Ürün ve Hizmetlerin Ulusal / Uluslararası Yasal Şart tanımlanmış mıdır, Uygunluk kanıtlar mevcut mudur?</t>
  </si>
  <si>
    <t>8.4.2.2</t>
  </si>
  <si>
    <t xml:space="preserve">Kalite Sistem Yöneticisi, Satınalma Sorumlusu
</t>
  </si>
  <si>
    <t>8.4.2.3</t>
  </si>
  <si>
    <t>Tedarikçi Geliştirme yöntemleri belirlenmiş midir? Hangi durumlarda geliştirme uygulanacaktır tanımlanmı ve tedarikçiler ile bu bilgiler paylaşılmakta mıdır?</t>
  </si>
  <si>
    <t>Tedarikçi Performanslarının methodları tanımlanmış mıdır? Etkin olarak performans değerlendirmeleri yapılmakta ve tedarikçiler ile paylaşılmakta mıdır?</t>
  </si>
  <si>
    <t>8.4.2.4</t>
  </si>
  <si>
    <t>Tedarikçi geliştirme kapsamında tedarikçi denetim şartları tanımlanmış mıdır, denetim planında ele alınmakta ve tedarikçi ile ileşime geçilmekte midir?</t>
  </si>
  <si>
    <t>8.4.2.4.1</t>
  </si>
  <si>
    <t>Kalite Sistem Yöneticisi, Satınalma Sorumlusu</t>
  </si>
  <si>
    <t>Tedarikçi Geliştirme Programının yöntemleri belirlenmiş mi, programa uyum etkin olarak yürütülmekte midir?</t>
  </si>
  <si>
    <t>Satınalınacak ürünler için satınalma şartnameleri oluşturulmuş mudur, kontrol talimatları oluşturulmuş ve sahada talimatlara erişim sağlanmakta mıdır,satın alınan ürünler satınalma kriterlerine göre doğrulanıyor mu? Doğrulama kayıtları tutulmakta ve geriye dönük erişim sağlanabilmekte midir?</t>
  </si>
  <si>
    <t>8.4.3</t>
  </si>
  <si>
    <t>8.2.4.5</t>
  </si>
  <si>
    <t>Kalite Sistem Yöneticisi, Satınalma Sorumlusu, Kalite Kontrol Sorumlusu, lab Sor. , Depo Sorumlusu</t>
  </si>
  <si>
    <t xml:space="preserve">Satınalma Siparişinin oluşturulması ve tedarikçiye sipariş geçilmesi ile ilgili sistemetik belirlenmiş midir?
</t>
  </si>
  <si>
    <t>Süreç Bazlı YGG toplantıları gerçekleştirilmekte ve analiz ve değerlendirmeler gerçekleştirilmektedir.</t>
  </si>
  <si>
    <t>Tedarikçi El Kitabında Belitilmiştir.</t>
  </si>
  <si>
    <t>√</t>
  </si>
  <si>
    <t>DENETİM BULGULARI:</t>
  </si>
  <si>
    <t xml:space="preserve">1) Uygunsuzluklar: </t>
  </si>
  <si>
    <t>Uygunsuzluk tespit edilmemiştir.</t>
  </si>
  <si>
    <t>2) Kuvvetli Yönler:</t>
  </si>
  <si>
    <t>3) İyileştirme Önerileri:</t>
  </si>
  <si>
    <t>DENETİM SONUCU:</t>
  </si>
  <si>
    <t>İsim Soyisim</t>
  </si>
  <si>
    <t>Bahadır Payır &amp; Şenay Özdemir</t>
  </si>
  <si>
    <t>Canias yazılımı üzüerinden tüm siparişler verilmektedir.</t>
  </si>
  <si>
    <t>Bkz. T1 F 7.25 Tedarikçi Listesi &amp; Canias Yazılımı içerisinde BAST03 te tüm kayıttlar mevcuttur.</t>
  </si>
  <si>
    <t>İmza ve tarih : 11.05.2023</t>
  </si>
  <si>
    <t>D4.1 F05 SÜREÇ RİSK ANALİZİ D5 Satın Alma Yönetimi+</t>
  </si>
  <si>
    <t>D4.2 P01 Strateji Yönetimi ve Kurumsal İletişim Prosedürü+D4.3 T01 İletişim Talimatı</t>
  </si>
  <si>
    <t>Sistem ve donanım şartları sağlanmıştır. Yazılım proğramı canias ile deteklenmektedir.</t>
  </si>
  <si>
    <t>D5 P02 Tedarikçi Değerlendirme &amp; Geliştirme Prosedürü+D5 T01 Tedarikçi  El Kitabı</t>
  </si>
  <si>
    <t>D5 T01 Tedarikçi  El Kitabı</t>
  </si>
  <si>
    <t>D4.1 F05 SÜREÇ RİSK ANALİZİ D5 Satın Alma Yönetimi+D5 P01 Satınalma Prosedürü</t>
  </si>
  <si>
    <t>D5 P01 Satınalma Prosedürüü nde TD5 F13 Sipariş Formu - Mal Tipi   Sipariş formu kullanılmaktadır. Canias üzerinden sipariş açılarak sürdürülmekte, açılan siparişeler doğrultusunda sistematik olarak girdi prosesinde takip edilebilmektedir</t>
  </si>
  <si>
    <t>Tedarikçi Risk Analizi-Geliştirme Planı 2022 tablosunda yöntemler belirlenmiştir. Risk analizi yapılmaktadır.'D4.1 F05 SÜREÇ RİSK ANALİZİ D5 Satın Alma Yönetimi+</t>
  </si>
  <si>
    <t>D5 P02 Tedarikçi Değerlendirme &amp; Geliştirme Prosedürü+D5 T01 Tedarikçi  El Kitabı+ Canias QLTT05 tedarikçi değerlendirmeleri 3 aylık olarak takip edilmekte ve yıllık olarak değerlendirme sonuçları paylaşılmaktadır.</t>
  </si>
  <si>
    <t>D5 P01 Satınalma Prosedürü-'D5 P02 Tedarikçi Değerlendirme &amp; Geliştirme Prosedürü</t>
  </si>
  <si>
    <t>Müşteri memnuniyeti ölçülmektedir. Canias  Salt72 Müşteri Teslimat ve kalite değerlendirmesi gözlendi.</t>
  </si>
  <si>
    <t>sürecin Canias ERP Yazılımı ile desteklenmesi. QLTT05 Tedarikçi değerlendirmeleri &amp; QLTT 03 mal kabul işlemleri gerçekleştirilmesi ve tüm verilerin süreçlerin birbirine entegre devam etmesi ve personelin yetkin olarak kullanılması kuvvetli yöndür.</t>
  </si>
  <si>
    <t>Kalite politikasına ulaşılabilmektedir.</t>
  </si>
  <si>
    <t>Denetim Tarihi ve Kodu:13.05.2024</t>
  </si>
  <si>
    <t>Fevzi Ünal-Funda akay</t>
  </si>
  <si>
    <t>D4.1 F05 SÜREÇ RİSK ANALİZİ D9 Satın Alma Yönetimi+</t>
  </si>
  <si>
    <t>D4.1 F05 SÜREÇ RİSK ANALİZİ D9 Satın Alma Yönetimi+D8.5 P01 Değişikliklerin Yönetimi Prosedürü</t>
  </si>
  <si>
    <t>2 ad Proses denetimi gerçekleştirilmiş.D8.6 F02 Proses Denetimi 698637-26.01.2024 &amp; Process Audit _Rain Cap_15.01.2024</t>
  </si>
  <si>
    <t>Günlük QRQC toplantıları ve yıllık olarak YGG de gözden geçirilmektedir.</t>
  </si>
  <si>
    <t>QLTT 07 Düzeltici faaliyetler düzenlenmekte ve tüm  Listede takip edilmektedirMüşteri Şikayeti - 564327 blade üzerinde çapak+pahsız 10.10.2024 tarihinde kapatılmış olan müşteri şikayeti incelendi.</t>
  </si>
  <si>
    <t>D2 F 6 02 Çok Görevlilk Tablosu-2024 &amp; HCMT21 Canias IK modülüne geçiş yapılmaktadır. Bbu modül ile TRNT 21 de gerçekleştirilen eğitimler sonrası kazanılan nitelikler personel siciline işlenmektedir. Eğitim almadğı herhangibir işte çalışması ve etiket alması imkansızdır.</t>
  </si>
  <si>
    <t>Yeterlilikler belirlnemiş olup, yetkinlik durumları takip edilmektedir. Eğitim faaliyterleri sürüdürülmektedir. Eğitim sonrası etkinlik değerlendirmeleri mevcuttur. Canias TRNT 21Eğitim modülü eğitim kayıtları mevcuttur.D2 T23 Görev Tanımı - Kalite Kontrol Operatörleri+ görev tanımları mevcut olup, düzenli olarak yetkinlikleri takip edilmektedir.
10.03.2024 tarihinde WMF Yan Sap Kalite Kontrol Eğitimi ne Cennet Ülgül ün katılım sağlandığı görüldü.</t>
  </si>
  <si>
    <t>D2.1 P01 Eğitim Prosedürü- Eğitim planına uygun olarak Canias TRNT21 de eğitim kayıtları mevcuttur1.0.03.2024 tarihinde WMF Yan Sap Kalite Kontrol Eğitimi ne Cennet Ülgül ün katılım sağlandığı görüldü.</t>
  </si>
  <si>
    <t>D5 T02 Satın Alma Teknik Şartnameleri mevcuttur.sahadaD8.7 T007 Hammadde Malzeme Giriş kontrol Talimatı rastlandı. Canias QLTT03 modülü üzerinden mal kabul gerçekleştirilmektedir. 04.05.2024 tarihinde METSS METAL KAPLAMA SAN.TİC. A.Ş. dan gelen mal kabul işlemi yapılmış ürün kayıt raporu incelendi.</t>
  </si>
  <si>
    <t>D4.4 F06 Tüm Süreçler Performans İzleme Tablosu 2024</t>
  </si>
  <si>
    <t>D5 P01 Satınalma Prosedürü-'D5 P02 Tedarikçi Değerlendirme &amp; Geliştirme Prosedürü
MRP T04 modülünde satınalma istekleri görülmektedir.</t>
  </si>
  <si>
    <t>D05 SATINALMA YÖNETİMİ</t>
  </si>
  <si>
    <t>Ana Referansı:D05 P01 Satınalma Prosedürü-D05 P02 Tedarikçi Değerlendirme &amp; Geliştirme Prosedürü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</si>
</sst>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Arial"/>
      <family val="2"/>
      <charset val="162"/>
    </font>
    <font>
      <sz val="11"/>
      <color theme="1"/>
      <name val="Arial"/>
      <family val="2"/>
      <charset val="162"/>
    </font>
    <font>
      <b/>
      <sz val="11"/>
      <color theme="1"/>
      <name val="Arial"/>
      <family val="2"/>
      <charset val="162"/>
    </font>
    <font>
      <sz val="10"/>
      <name val="Arial"/>
      <family val="2"/>
      <charset val="162"/>
    </font>
    <font>
      <b/>
      <sz val="16"/>
      <name val="Arial"/>
      <family val="2"/>
      <charset val="162"/>
    </font>
    <font>
      <b/>
      <sz val="11"/>
      <name val="Arial"/>
      <family val="2"/>
      <charset val="162"/>
    </font>
    <font>
      <sz val="10"/>
      <color theme="1"/>
      <name val="Arial"/>
      <family val="2"/>
      <charset val="162"/>
    </font>
    <font>
      <sz val="12"/>
      <color theme="1"/>
      <name val="Arial"/>
      <family val="2"/>
      <charset val="162"/>
    </font>
    <font>
      <sz val="8"/>
      <color theme="1"/>
      <name val="Arial"/>
      <family val="2"/>
      <charset val="162"/>
    </font>
    <font>
      <sz val="11"/>
      <name val="Arial"/>
      <family val="2"/>
      <charset val="162"/>
    </font>
    <font>
      <sz val="6"/>
      <color theme="1"/>
      <name val="Arial"/>
      <family val="2"/>
      <charset val="162"/>
    </font>
    <font>
      <b/>
      <sz val="10"/>
      <color theme="1"/>
      <name val="Arial"/>
      <family val="2"/>
      <charset val="162"/>
    </font>
    <font>
      <u/>
      <sz val="11"/>
      <color theme="10"/>
      <name val="Calibri"/>
      <family val="2"/>
      <scheme val="minor"/>
    </font>
    <font>
      <sz val="9"/>
      <color theme="1"/>
      <name val="Arial"/>
      <family val="2"/>
      <charset val="162"/>
    </font>
    <font>
      <b/>
      <sz val="8"/>
      <name val="Arial"/>
      <family val="2"/>
      <charset val="162"/>
    </font>
    <font>
      <b/>
      <sz val="8"/>
      <color theme="1"/>
      <name val="Arial"/>
      <family val="2"/>
      <charset val="162"/>
    </font>
    <font>
      <u/>
      <sz val="8"/>
      <color theme="10"/>
      <name val="Calibri"/>
      <family val="2"/>
      <scheme val="minor"/>
    </font>
    <font>
      <b/>
      <sz val="9"/>
      <name val="Arial"/>
      <family val="2"/>
      <charset val="162"/>
    </font>
    <font>
      <b/>
      <sz val="9"/>
      <color theme="1"/>
      <name val="Arial"/>
      <family val="2"/>
      <charset val="162"/>
    </font>
    <font>
      <sz val="9"/>
      <name val="Arial"/>
      <family val="2"/>
      <charset val="162"/>
    </font>
    <font>
      <sz val="14"/>
      <color theme="1"/>
      <name val="Arial Tur"/>
      <charset val="162"/>
    </font>
    <font>
      <b/>
      <sz val="12"/>
      <name val="Arial"/>
      <family val="2"/>
      <charset val="162"/>
    </font>
    <font>
      <sz val="8"/>
      <name val="Arial"/>
      <family val="2"/>
      <charset val="162"/>
    </font>
    <font>
      <b/>
      <sz val="10"/>
      <name val="Arial"/>
      <family val="2"/>
      <charset val="162"/>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4" fillId="0" borderId="0"/>
    <xf numFmtId="0" fontId="13" fillId="0" borderId="0" applyNumberFormat="0" applyFill="0" applyBorder="0" applyAlignment="0" applyProtection="0"/>
  </cellStyleXfs>
  <cellXfs count="121">
    <xf numFmtId="0" fontId="0" fillId="0" borderId="0" xfId="0"/>
    <xf numFmtId="0" fontId="2" fillId="0" borderId="0" xfId="0" applyFont="1"/>
    <xf numFmtId="0" fontId="6" fillId="2" borderId="2" xfId="0" applyFont="1" applyFill="1" applyBorder="1" applyAlignment="1">
      <alignment horizontal="left" vertical="center"/>
    </xf>
    <xf numFmtId="49" fontId="7" fillId="3" borderId="4" xfId="0" applyNumberFormat="1" applyFont="1" applyFill="1" applyBorder="1"/>
    <xf numFmtId="0" fontId="4" fillId="3" borderId="6" xfId="0" applyFont="1" applyFill="1" applyBorder="1" applyAlignment="1">
      <alignment horizontal="center" vertical="center"/>
    </xf>
    <xf numFmtId="49" fontId="7" fillId="3" borderId="5" xfId="0" applyNumberFormat="1" applyFont="1" applyFill="1" applyBorder="1"/>
    <xf numFmtId="0" fontId="2" fillId="0" borderId="6" xfId="0" applyFont="1" applyBorder="1" applyAlignment="1">
      <alignment horizontal="center" vertical="center"/>
    </xf>
    <xf numFmtId="0" fontId="7" fillId="0" borderId="6" xfId="0" applyFont="1" applyBorder="1" applyAlignment="1">
      <alignment vertical="center" wrapText="1"/>
    </xf>
    <xf numFmtId="0" fontId="2" fillId="0" borderId="6" xfId="0" applyFont="1" applyBorder="1"/>
    <xf numFmtId="0" fontId="2" fillId="0" borderId="0" xfId="0" applyFont="1" applyAlignment="1">
      <alignment horizontal="center" vertical="center"/>
    </xf>
    <xf numFmtId="0" fontId="8" fillId="0" borderId="0" xfId="0" applyFont="1" applyAlignment="1">
      <alignment horizontal="center" vertical="center"/>
    </xf>
    <xf numFmtId="49" fontId="2" fillId="0" borderId="0" xfId="0" applyNumberFormat="1" applyFont="1" applyAlignment="1">
      <alignment horizontal="center" vertical="center"/>
    </xf>
    <xf numFmtId="49" fontId="7" fillId="0" borderId="6" xfId="0" applyNumberFormat="1" applyFont="1" applyBorder="1" applyAlignment="1">
      <alignment horizontal="center" vertical="center" wrapText="1"/>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1" xfId="0" applyFont="1" applyFill="1" applyBorder="1"/>
    <xf numFmtId="0" fontId="5" fillId="2" borderId="2" xfId="0" applyFont="1" applyFill="1" applyBorder="1"/>
    <xf numFmtId="0" fontId="5" fillId="2" borderId="3" xfId="0" applyFont="1" applyFill="1" applyBorder="1"/>
    <xf numFmtId="0" fontId="10" fillId="4" borderId="0" xfId="0" applyFont="1" applyFill="1" applyAlignment="1">
      <alignment horizontal="center" vertical="center"/>
    </xf>
    <xf numFmtId="49" fontId="4" fillId="4" borderId="6" xfId="0" applyNumberFormat="1" applyFont="1" applyFill="1" applyBorder="1" applyAlignment="1">
      <alignment horizontal="center" vertical="center" wrapText="1"/>
    </xf>
    <xf numFmtId="0" fontId="7" fillId="4" borderId="6" xfId="0" applyFont="1" applyFill="1" applyBorder="1" applyAlignment="1">
      <alignment vertical="center" wrapText="1"/>
    </xf>
    <xf numFmtId="0" fontId="9" fillId="0" borderId="1" xfId="0" applyFont="1" applyBorder="1" applyAlignment="1">
      <alignment horizontal="left" vertical="center" wrapText="1"/>
    </xf>
    <xf numFmtId="0" fontId="7" fillId="0" borderId="6" xfId="0" applyFont="1" applyBorder="1" applyAlignment="1">
      <alignment horizontal="center" vertical="center" wrapText="1"/>
    </xf>
    <xf numFmtId="0" fontId="1" fillId="0" borderId="0" xfId="0" applyFont="1"/>
    <xf numFmtId="49" fontId="9" fillId="0" borderId="1" xfId="0" applyNumberFormat="1" applyFont="1" applyBorder="1" applyAlignment="1">
      <alignment horizontal="left" vertical="center" wrapText="1"/>
    </xf>
    <xf numFmtId="49" fontId="11" fillId="0" borderId="1" xfId="0" applyNumberFormat="1" applyFont="1" applyBorder="1" applyAlignment="1">
      <alignment horizontal="left" vertical="center" wrapText="1"/>
    </xf>
    <xf numFmtId="49" fontId="6" fillId="2" borderId="2" xfId="0" applyNumberFormat="1" applyFont="1" applyFill="1" applyBorder="1" applyAlignment="1">
      <alignment horizontal="left" vertical="center"/>
    </xf>
    <xf numFmtId="0" fontId="7" fillId="4" borderId="6" xfId="0" applyFont="1" applyFill="1" applyBorder="1" applyAlignment="1">
      <alignment horizontal="center" vertical="center" wrapText="1"/>
    </xf>
    <xf numFmtId="49" fontId="7" fillId="0" borderId="6" xfId="0" quotePrefix="1" applyNumberFormat="1" applyFont="1" applyBorder="1" applyAlignment="1">
      <alignment horizontal="center" vertical="center" wrapText="1"/>
    </xf>
    <xf numFmtId="49" fontId="9" fillId="0" borderId="1" xfId="0" quotePrefix="1" applyNumberFormat="1" applyFont="1" applyBorder="1" applyAlignment="1">
      <alignment horizontal="left" vertical="center" wrapText="1"/>
    </xf>
    <xf numFmtId="49" fontId="4" fillId="4" borderId="6" xfId="0" quotePrefix="1" applyNumberFormat="1" applyFont="1" applyFill="1" applyBorder="1" applyAlignment="1">
      <alignment horizontal="center" vertical="center" wrapText="1"/>
    </xf>
    <xf numFmtId="49" fontId="4" fillId="4" borderId="6" xfId="0" quotePrefix="1" applyNumberFormat="1" applyFont="1" applyFill="1" applyBorder="1" applyAlignment="1">
      <alignment horizontal="left" vertical="center" wrapText="1"/>
    </xf>
    <xf numFmtId="0" fontId="1" fillId="0" borderId="6" xfId="0" applyFont="1" applyBorder="1"/>
    <xf numFmtId="0" fontId="9" fillId="0" borderId="0" xfId="0" applyFont="1"/>
    <xf numFmtId="0" fontId="15" fillId="2" borderId="2" xfId="0" quotePrefix="1" applyFont="1" applyFill="1" applyBorder="1" applyAlignment="1">
      <alignment horizontal="left" vertical="center"/>
    </xf>
    <xf numFmtId="0" fontId="15" fillId="2" borderId="2" xfId="0" applyFont="1" applyFill="1" applyBorder="1"/>
    <xf numFmtId="0" fontId="9" fillId="2" borderId="2" xfId="0" applyFont="1" applyFill="1" applyBorder="1"/>
    <xf numFmtId="0" fontId="16" fillId="2" borderId="2" xfId="0" quotePrefix="1" applyFont="1" applyFill="1" applyBorder="1" applyAlignment="1">
      <alignment horizontal="left" vertical="center"/>
    </xf>
    <xf numFmtId="49" fontId="6" fillId="2" borderId="1" xfId="0" quotePrefix="1" applyNumberFormat="1" applyFont="1" applyFill="1" applyBorder="1" applyAlignment="1">
      <alignment horizontal="left" vertical="center"/>
    </xf>
    <xf numFmtId="0" fontId="9" fillId="2" borderId="2" xfId="0" applyFont="1" applyFill="1" applyBorder="1" applyAlignment="1">
      <alignment wrapText="1"/>
    </xf>
    <xf numFmtId="0" fontId="14" fillId="0" borderId="0" xfId="0" applyFont="1"/>
    <xf numFmtId="0" fontId="18" fillId="2" borderId="1" xfId="0" applyFont="1" applyFill="1" applyBorder="1"/>
    <xf numFmtId="14" fontId="18" fillId="2" borderId="1" xfId="0" applyNumberFormat="1" applyFont="1" applyFill="1" applyBorder="1" applyAlignment="1">
      <alignment horizontal="center"/>
    </xf>
    <xf numFmtId="0" fontId="14" fillId="0" borderId="6" xfId="0" applyFont="1" applyBorder="1" applyAlignment="1">
      <alignment vertical="center" wrapText="1"/>
    </xf>
    <xf numFmtId="0" fontId="14" fillId="4" borderId="6" xfId="0" applyFont="1" applyFill="1" applyBorder="1" applyAlignment="1">
      <alignment vertical="center" wrapText="1"/>
    </xf>
    <xf numFmtId="0" fontId="14" fillId="4" borderId="6" xfId="0" quotePrefix="1" applyFont="1" applyFill="1" applyBorder="1" applyAlignment="1">
      <alignment horizontal="left" vertical="center" wrapText="1"/>
    </xf>
    <xf numFmtId="0" fontId="20" fillId="4" borderId="6" xfId="0" quotePrefix="1" applyFont="1" applyFill="1" applyBorder="1" applyAlignment="1">
      <alignment horizontal="left" vertical="center" wrapText="1"/>
    </xf>
    <xf numFmtId="0" fontId="20" fillId="4" borderId="6" xfId="0" applyFont="1" applyFill="1" applyBorder="1" applyAlignment="1">
      <alignment vertical="center" wrapText="1"/>
    </xf>
    <xf numFmtId="0" fontId="1" fillId="0" borderId="6" xfId="0" applyFont="1" applyBorder="1" applyAlignment="1">
      <alignment wrapText="1"/>
    </xf>
    <xf numFmtId="0" fontId="1" fillId="0" borderId="6" xfId="0" quotePrefix="1" applyFont="1" applyBorder="1" applyAlignment="1">
      <alignment horizontal="left" wrapText="1"/>
    </xf>
    <xf numFmtId="0" fontId="21" fillId="0" borderId="6" xfId="0" applyFont="1" applyBorder="1" applyAlignment="1">
      <alignment horizontal="center" vertical="center"/>
    </xf>
    <xf numFmtId="0" fontId="22" fillId="5" borderId="0" xfId="0" applyFont="1" applyFill="1"/>
    <xf numFmtId="0" fontId="0" fillId="5" borderId="0" xfId="0" applyFill="1"/>
    <xf numFmtId="0" fontId="23" fillId="5" borderId="0" xfId="0" applyFont="1" applyFill="1"/>
    <xf numFmtId="0" fontId="24" fillId="5" borderId="0" xfId="0" applyFont="1" applyFill="1"/>
    <xf numFmtId="0" fontId="4" fillId="3" borderId="10" xfId="0" applyFont="1" applyFill="1" applyBorder="1" applyAlignment="1">
      <alignment horizontal="left"/>
    </xf>
    <xf numFmtId="0" fontId="0" fillId="3" borderId="12" xfId="0" applyFill="1" applyBorder="1"/>
    <xf numFmtId="0" fontId="0" fillId="3" borderId="9" xfId="0" applyFill="1" applyBorder="1"/>
    <xf numFmtId="0" fontId="4" fillId="5" borderId="0" xfId="0" applyFont="1" applyFill="1" applyAlignment="1">
      <alignment horizontal="left"/>
    </xf>
    <xf numFmtId="0" fontId="0" fillId="3" borderId="8" xfId="0" applyFill="1" applyBorder="1"/>
    <xf numFmtId="0" fontId="0" fillId="3" borderId="10" xfId="0" applyFill="1" applyBorder="1" applyAlignment="1">
      <alignment horizontal="center"/>
    </xf>
    <xf numFmtId="0" fontId="0" fillId="5" borderId="0" xfId="0" applyFill="1" applyAlignment="1">
      <alignment horizontal="center"/>
    </xf>
    <xf numFmtId="0" fontId="4" fillId="5" borderId="0" xfId="0" applyFont="1" applyFill="1"/>
    <xf numFmtId="0" fontId="4" fillId="3" borderId="0" xfId="0" applyFont="1" applyFill="1"/>
    <xf numFmtId="0" fontId="0" fillId="3" borderId="0" xfId="0" applyFill="1"/>
    <xf numFmtId="49" fontId="1" fillId="3" borderId="0" xfId="0" applyNumberFormat="1" applyFont="1" applyFill="1" applyAlignment="1">
      <alignment horizontal="left" vertical="center"/>
    </xf>
    <xf numFmtId="49" fontId="2" fillId="3" borderId="0" xfId="0" applyNumberFormat="1" applyFont="1" applyFill="1" applyAlignment="1">
      <alignment horizontal="center" vertical="center"/>
    </xf>
    <xf numFmtId="0" fontId="9" fillId="4" borderId="1" xfId="0" quotePrefix="1"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 xfId="0" quotePrefix="1" applyFont="1" applyBorder="1" applyAlignment="1">
      <alignment horizontal="center" vertical="center" wrapText="1"/>
    </xf>
    <xf numFmtId="0" fontId="0" fillId="3" borderId="0" xfId="0" applyFill="1" applyAlignment="1">
      <alignment horizontal="left"/>
    </xf>
    <xf numFmtId="0" fontId="23" fillId="4" borderId="1" xfId="0" quotePrefix="1" applyFont="1" applyFill="1" applyBorder="1" applyAlignment="1">
      <alignment horizontal="center" vertical="center" wrapText="1"/>
    </xf>
    <xf numFmtId="0" fontId="23" fillId="4" borderId="3" xfId="0" applyFont="1" applyFill="1" applyBorder="1" applyAlignment="1">
      <alignment horizontal="center" vertical="center" wrapText="1"/>
    </xf>
    <xf numFmtId="0" fontId="0" fillId="3" borderId="7" xfId="0" applyFill="1" applyBorder="1" applyAlignment="1">
      <alignment horizontal="left"/>
    </xf>
    <xf numFmtId="0" fontId="0" fillId="3" borderId="11" xfId="0" applyFill="1" applyBorder="1" applyAlignment="1">
      <alignment horizontal="left"/>
    </xf>
    <xf numFmtId="0" fontId="0" fillId="3" borderId="8" xfId="0" applyFill="1" applyBorder="1" applyAlignment="1">
      <alignment horizontal="left"/>
    </xf>
    <xf numFmtId="0" fontId="0" fillId="3" borderId="7" xfId="0" applyFill="1" applyBorder="1" applyAlignment="1">
      <alignment horizontal="left" wrapText="1"/>
    </xf>
    <xf numFmtId="0" fontId="0" fillId="3" borderId="11" xfId="0" applyFill="1" applyBorder="1" applyAlignment="1">
      <alignment horizontal="left" wrapText="1"/>
    </xf>
    <xf numFmtId="0" fontId="0" fillId="3" borderId="8" xfId="0" applyFill="1" applyBorder="1" applyAlignment="1">
      <alignment horizontal="left" wrapText="1"/>
    </xf>
    <xf numFmtId="0" fontId="0" fillId="3" borderId="10" xfId="0" applyFill="1" applyBorder="1" applyAlignment="1">
      <alignment horizontal="left" wrapText="1"/>
    </xf>
    <xf numFmtId="0" fontId="0" fillId="3" borderId="12" xfId="0" applyFill="1" applyBorder="1" applyAlignment="1">
      <alignment horizontal="left" wrapText="1"/>
    </xf>
    <xf numFmtId="0" fontId="0" fillId="3" borderId="9" xfId="0" applyFill="1" applyBorder="1" applyAlignment="1">
      <alignment horizontal="left" wrapText="1"/>
    </xf>
    <xf numFmtId="0" fontId="0" fillId="3" borderId="7" xfId="0" applyFill="1" applyBorder="1" applyAlignment="1">
      <alignment horizontal="center"/>
    </xf>
    <xf numFmtId="0" fontId="0" fillId="3" borderId="11" xfId="0" applyFill="1" applyBorder="1" applyAlignment="1">
      <alignment horizontal="center"/>
    </xf>
    <xf numFmtId="49" fontId="6" fillId="2" borderId="1" xfId="0" quotePrefix="1" applyNumberFormat="1" applyFont="1" applyFill="1" applyBorder="1" applyAlignment="1">
      <alignment horizontal="left" vertical="center" wrapText="1"/>
    </xf>
    <xf numFmtId="49" fontId="6" fillId="2" borderId="2" xfId="0" applyNumberFormat="1" applyFont="1" applyFill="1" applyBorder="1" applyAlignment="1">
      <alignment horizontal="left" vertical="center" wrapText="1"/>
    </xf>
    <xf numFmtId="0" fontId="19" fillId="3" borderId="4"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9" fillId="4" borderId="3" xfId="0" applyFont="1" applyFill="1" applyBorder="1" applyAlignment="1">
      <alignment horizontal="left" vertical="center" wrapText="1"/>
    </xf>
    <xf numFmtId="0" fontId="6" fillId="2" borderId="2" xfId="0" quotePrefix="1" applyFont="1" applyFill="1" applyBorder="1" applyAlignment="1">
      <alignment horizontal="center" vertical="center"/>
    </xf>
    <xf numFmtId="0" fontId="6" fillId="2" borderId="2"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14" fillId="4" borderId="1" xfId="0" quotePrefix="1" applyFont="1" applyFill="1" applyBorder="1" applyAlignment="1">
      <alignment vertical="center" wrapText="1"/>
    </xf>
    <xf numFmtId="0" fontId="14" fillId="4" borderId="3" xfId="0" quotePrefix="1" applyFont="1" applyFill="1" applyBorder="1" applyAlignment="1">
      <alignment vertical="center" wrapText="1"/>
    </xf>
    <xf numFmtId="0" fontId="14" fillId="4" borderId="1" xfId="0" quotePrefix="1" applyFont="1" applyFill="1" applyBorder="1" applyAlignment="1">
      <alignment horizontal="left" vertical="center" wrapText="1"/>
    </xf>
    <xf numFmtId="0" fontId="14" fillId="4" borderId="3" xfId="0" quotePrefix="1" applyFont="1" applyFill="1" applyBorder="1" applyAlignment="1">
      <alignment horizontal="left" vertical="center" wrapText="1"/>
    </xf>
    <xf numFmtId="0" fontId="14" fillId="4" borderId="1" xfId="0" applyFont="1" applyFill="1" applyBorder="1" applyAlignment="1">
      <alignment vertical="center" wrapText="1"/>
    </xf>
    <xf numFmtId="0" fontId="14" fillId="4" borderId="3" xfId="0" applyFont="1" applyFill="1" applyBorder="1" applyAlignment="1">
      <alignment vertical="center" wrapText="1"/>
    </xf>
    <xf numFmtId="0" fontId="16" fillId="2" borderId="2" xfId="0" quotePrefix="1" applyFont="1" applyFill="1" applyBorder="1" applyAlignment="1">
      <alignment horizontal="center" vertical="top" wrapText="1"/>
    </xf>
    <xf numFmtId="0" fontId="16" fillId="2" borderId="3" xfId="0" quotePrefix="1" applyFont="1" applyFill="1" applyBorder="1" applyAlignment="1">
      <alignment horizontal="center" vertical="top" wrapText="1"/>
    </xf>
    <xf numFmtId="0" fontId="2" fillId="0" borderId="0" xfId="0" applyFont="1" applyAlignment="1">
      <alignment horizontal="center" vertical="center" wrapText="1"/>
    </xf>
    <xf numFmtId="0" fontId="15" fillId="3" borderId="7"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9" xfId="0" applyFont="1" applyFill="1" applyBorder="1" applyAlignment="1">
      <alignment horizontal="center" vertical="center"/>
    </xf>
    <xf numFmtId="49" fontId="3" fillId="3" borderId="4" xfId="0" applyNumberFormat="1"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7" fillId="0" borderId="1" xfId="2" applyFont="1" applyBorder="1" applyAlignment="1">
      <alignment horizontal="center" vertical="center" wrapText="1"/>
    </xf>
    <xf numFmtId="0" fontId="17" fillId="0" borderId="3" xfId="2" applyFont="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cellXfs>
  <cellStyles count="3">
    <cellStyle name="Köprü" xfId="2" builtinId="8"/>
    <cellStyle name="Normal" xfId="0" builtinId="0"/>
    <cellStyle name="Normal 2" xfId="1" xr:uid="{00000000-0005-0000-0000-000002000000}"/>
  </cellStyles>
  <dxfs count="1">
    <dxf>
      <fill>
        <patternFill>
          <bgColor theme="0" tint="-0.34998626667073579"/>
        </patternFill>
      </fill>
    </dxf>
  </dxfs>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B1:O60"/>
  <sheetViews>
    <sheetView showGridLines="0" tabSelected="1" topLeftCell="B1" zoomScaleNormal="100" workbookViewId="0">
      <pane ySplit="6" topLeftCell="A40" activePane="bottomLeft" state="frozen"/>
      <selection pane="bottomLeft" activeCell="I45" sqref="I45"/>
    </sheetView>
  </sheetViews>
  <sheetFormatPr defaultColWidth="9.109375" defaultRowHeight="13.8" x14ac:dyDescent="0.25"/>
  <cols>
    <col min="1" max="1" width="3.44140625" style="1" customWidth="1"/>
    <col min="2" max="2" width="4" style="9" customWidth="1"/>
    <col min="3" max="3" width="5.109375" style="1" customWidth="1"/>
    <col min="4" max="4" width="71.33203125" style="40" customWidth="1"/>
    <col min="5" max="5" width="6.109375" style="1" customWidth="1"/>
    <col min="6" max="6" width="5.44140625" style="1" customWidth="1"/>
    <col min="7" max="7" width="5.5546875" style="11" customWidth="1"/>
    <col min="8" max="8" width="10.5546875" style="11" customWidth="1"/>
    <col min="9" max="9" width="13.6640625" style="33" customWidth="1"/>
    <col min="10" max="10" width="31.6640625" style="33" customWidth="1"/>
    <col min="11" max="14" width="5.109375" style="1" customWidth="1"/>
    <col min="15" max="15" width="5.5546875" style="1" customWidth="1"/>
    <col min="16" max="16384" width="9.109375" style="1"/>
  </cols>
  <sheetData>
    <row r="1" spans="2:15" ht="6.75" customHeight="1" x14ac:dyDescent="0.25"/>
    <row r="2" spans="2:15" ht="21" x14ac:dyDescent="0.4">
      <c r="C2" s="15" t="s">
        <v>0</v>
      </c>
      <c r="D2" s="41"/>
      <c r="E2" s="16"/>
      <c r="F2" s="16"/>
      <c r="G2" s="93" t="s">
        <v>36</v>
      </c>
      <c r="H2" s="94"/>
      <c r="I2" s="34" t="s">
        <v>116</v>
      </c>
      <c r="J2" s="35"/>
      <c r="K2" s="16"/>
      <c r="L2" s="16"/>
      <c r="M2" s="16"/>
      <c r="N2" s="16"/>
      <c r="O2" s="17"/>
    </row>
    <row r="3" spans="2:15" ht="21" x14ac:dyDescent="0.4">
      <c r="C3" s="38" t="s">
        <v>103</v>
      </c>
      <c r="D3" s="42"/>
      <c r="E3" s="13"/>
      <c r="F3" s="13"/>
      <c r="G3" s="2" t="s">
        <v>12</v>
      </c>
      <c r="H3" s="2"/>
      <c r="I3" s="36" t="s">
        <v>104</v>
      </c>
      <c r="J3" s="36"/>
      <c r="K3" s="13"/>
      <c r="L3" s="13"/>
      <c r="M3" s="13"/>
      <c r="N3" s="13"/>
      <c r="O3" s="14"/>
    </row>
    <row r="4" spans="2:15" ht="40.5" customHeight="1" x14ac:dyDescent="0.25">
      <c r="C4" s="86" t="s">
        <v>117</v>
      </c>
      <c r="D4" s="87"/>
      <c r="E4" s="26"/>
      <c r="F4" s="26"/>
      <c r="G4" s="2" t="s">
        <v>35</v>
      </c>
      <c r="H4" s="2"/>
      <c r="I4" s="37" t="s">
        <v>86</v>
      </c>
      <c r="J4" s="39"/>
      <c r="K4" s="103"/>
      <c r="L4" s="103"/>
      <c r="M4" s="103"/>
      <c r="N4" s="103"/>
      <c r="O4" s="104"/>
    </row>
    <row r="5" spans="2:15" ht="15" customHeight="1" x14ac:dyDescent="0.25">
      <c r="B5" s="105" t="s">
        <v>11</v>
      </c>
      <c r="C5" s="112" t="s">
        <v>8</v>
      </c>
      <c r="D5" s="88" t="s">
        <v>39</v>
      </c>
      <c r="E5" s="114" t="s">
        <v>40</v>
      </c>
      <c r="F5" s="95" t="s">
        <v>37</v>
      </c>
      <c r="G5" s="110" t="s">
        <v>7</v>
      </c>
      <c r="H5" s="110" t="s">
        <v>34</v>
      </c>
      <c r="I5" s="106" t="s">
        <v>1</v>
      </c>
      <c r="J5" s="107"/>
      <c r="K5" s="118" t="s">
        <v>2</v>
      </c>
      <c r="L5" s="119"/>
      <c r="M5" s="119"/>
      <c r="N5" s="120"/>
      <c r="O5" s="3" t="s">
        <v>9</v>
      </c>
    </row>
    <row r="6" spans="2:15" ht="15" customHeight="1" x14ac:dyDescent="0.25">
      <c r="B6" s="105"/>
      <c r="C6" s="113"/>
      <c r="D6" s="89"/>
      <c r="E6" s="115"/>
      <c r="F6" s="96"/>
      <c r="G6" s="111"/>
      <c r="H6" s="111"/>
      <c r="I6" s="108"/>
      <c r="J6" s="109"/>
      <c r="K6" s="4" t="s">
        <v>3</v>
      </c>
      <c r="L6" s="4" t="s">
        <v>4</v>
      </c>
      <c r="M6" s="4" t="s">
        <v>5</v>
      </c>
      <c r="N6" s="4" t="s">
        <v>6</v>
      </c>
      <c r="O6" s="5" t="s">
        <v>10</v>
      </c>
    </row>
    <row r="7" spans="2:15" ht="34.200000000000003" x14ac:dyDescent="0.25">
      <c r="B7" s="10">
        <v>1</v>
      </c>
      <c r="C7" s="6">
        <v>1</v>
      </c>
      <c r="D7" s="43" t="str">
        <f>I2&amp; " süreci;"&amp; "girdi prosesleri, girdileri, çıktıları, çıktı prosesleri, işlemleri, işlemlerin yürütülme şekli, organizasyonu, altyapısı, riskleri, olası değişiklikleri, iyileştirme için performans parametreleri tanımlanmış mıdır? DOKÜMANTE BİLGİ (4.4.1)"</f>
        <v>D05 SATINALMA YÖNETİMİ süreci;girdi prosesleri, girdileri, çıktıları, çıktı prosesleri, işlemleri, işlemlerin yürütülme şekli, organizasyonu, altyapısı, riskleri, olası değişiklikleri, iyileştirme için performans parametreleri tanımlanmış mıdır? DOKÜMANTE BİLGİ (4.4.1)</v>
      </c>
      <c r="E7" s="7"/>
      <c r="F7" s="22"/>
      <c r="G7" s="12" t="s">
        <v>13</v>
      </c>
      <c r="H7" s="21" t="str">
        <f t="shared" ref="H7:H12" si="0">$I$4</f>
        <v>Bahadır Payır &amp; Şenay Özdemir</v>
      </c>
      <c r="I7" s="71" t="s">
        <v>105</v>
      </c>
      <c r="J7" s="70"/>
      <c r="K7" s="50" t="s">
        <v>78</v>
      </c>
      <c r="L7" s="8"/>
      <c r="M7" s="8"/>
      <c r="N7" s="8"/>
      <c r="O7" s="8"/>
    </row>
    <row r="8" spans="2:15" ht="30.6" customHeight="1" x14ac:dyDescent="0.25">
      <c r="B8" s="9">
        <v>1</v>
      </c>
      <c r="C8" s="6">
        <v>2</v>
      </c>
      <c r="D8" s="43" t="str">
        <f>I2&amp; " süreci;"&amp; " için risk ve fırsatları belirleme faaliyetleri gerçekleştirilmekte midir?"</f>
        <v>D05 SATINALMA YÖNETİMİ süreci; için risk ve fırsatları belirleme faaliyetleri gerçekleştirilmekte midir?</v>
      </c>
      <c r="E8" s="7"/>
      <c r="F8" s="22"/>
      <c r="G8" s="12" t="s">
        <v>15</v>
      </c>
      <c r="H8" s="21" t="str">
        <f t="shared" si="0"/>
        <v>Bahadır Payır &amp; Şenay Özdemir</v>
      </c>
      <c r="I8" s="71" t="s">
        <v>105</v>
      </c>
      <c r="J8" s="70"/>
      <c r="K8" s="50" t="s">
        <v>78</v>
      </c>
      <c r="L8" s="8"/>
      <c r="M8" s="8"/>
      <c r="N8" s="8"/>
      <c r="O8" s="8"/>
    </row>
    <row r="9" spans="2:15" ht="30.6" customHeight="1" x14ac:dyDescent="0.25">
      <c r="B9" s="9">
        <v>1</v>
      </c>
      <c r="C9" s="6">
        <v>3</v>
      </c>
      <c r="D9" s="43" t="str">
        <f>I2&amp; " süreci;"&amp; " için amaçlar ve bu amaçlara ulaşmak için aksiyonlar belirlenmiş midir? DOKÜMANTE BİLGİ (6.2.1)"</f>
        <v>D05 SATINALMA YÖNETİMİ süreci; için amaçlar ve bu amaçlara ulaşmak için aksiyonlar belirlenmiş midir? DOKÜMANTE BİLGİ (6.2.1)</v>
      </c>
      <c r="E9" s="7"/>
      <c r="F9" s="22"/>
      <c r="G9" s="12" t="s">
        <v>14</v>
      </c>
      <c r="H9" s="21" t="str">
        <f t="shared" si="0"/>
        <v>Bahadır Payır &amp; Şenay Özdemir</v>
      </c>
      <c r="I9" s="71" t="s">
        <v>105</v>
      </c>
      <c r="J9" s="70"/>
      <c r="K9" s="50" t="s">
        <v>78</v>
      </c>
      <c r="L9" s="8"/>
      <c r="M9" s="8"/>
      <c r="N9" s="8"/>
      <c r="O9" s="8"/>
    </row>
    <row r="10" spans="2:15" ht="30.6" x14ac:dyDescent="0.25">
      <c r="B10" s="9">
        <v>1</v>
      </c>
      <c r="C10" s="6">
        <v>4</v>
      </c>
      <c r="D10" s="43" t="str">
        <f>I2&amp; " süreci;"&amp; " için sistematik olarak değişiklikler belirleniyor mu?"</f>
        <v>D05 SATINALMA YÖNETİMİ süreci; için sistematik olarak değişiklikler belirleniyor mu?</v>
      </c>
      <c r="E10" s="7"/>
      <c r="F10" s="22"/>
      <c r="G10" s="12" t="s">
        <v>16</v>
      </c>
      <c r="H10" s="21" t="str">
        <f t="shared" si="0"/>
        <v>Bahadır Payır &amp; Şenay Özdemir</v>
      </c>
      <c r="I10" s="71" t="s">
        <v>106</v>
      </c>
      <c r="J10" s="70"/>
      <c r="K10" s="50" t="s">
        <v>78</v>
      </c>
      <c r="L10" s="8"/>
      <c r="M10" s="8"/>
      <c r="N10" s="8"/>
      <c r="O10" s="8"/>
    </row>
    <row r="11" spans="2:15" ht="30.6" x14ac:dyDescent="0.25">
      <c r="B11" s="9">
        <v>1</v>
      </c>
      <c r="C11" s="6">
        <v>5</v>
      </c>
      <c r="D11" s="43" t="str">
        <f>I2&amp; " süreci;"&amp; " etkili bir iletişim planı var mıdır, bu plana göre etkili iletişimler gerçekleştirilmekte midir"</f>
        <v>D05 SATINALMA YÖNETİMİ süreci; etkili bir iletişim planı var mıdır, bu plana göre etkili iletişimler gerçekleştirilmekte midir</v>
      </c>
      <c r="E11" s="7"/>
      <c r="F11" s="22"/>
      <c r="G11" s="12" t="s">
        <v>21</v>
      </c>
      <c r="H11" s="21" t="str">
        <f t="shared" si="0"/>
        <v>Bahadır Payır &amp; Şenay Özdemir</v>
      </c>
      <c r="I11" s="69" t="s">
        <v>91</v>
      </c>
      <c r="J11" s="70"/>
      <c r="K11" s="50" t="s">
        <v>78</v>
      </c>
      <c r="L11" s="8"/>
      <c r="M11" s="8"/>
      <c r="N11" s="8"/>
      <c r="O11" s="8"/>
    </row>
    <row r="12" spans="2:15" ht="34.200000000000003" customHeight="1" x14ac:dyDescent="0.25">
      <c r="B12" s="9">
        <v>1</v>
      </c>
      <c r="C12" s="6">
        <v>6</v>
      </c>
      <c r="D12" s="43" t="str">
        <f>I2&amp; " süreci;"&amp; " iç tetkikleri, iç tetkik posedürüne uygun olarak olarak gerçekleştiriliyor mu, tetkik sonuçları iyileştirme faaliyetleri için girdi olarak kullanılıyor mu? DOKÜMANTE BİLGİ (9.2.2.f)"</f>
        <v>D05 SATINALMA YÖNETİMİ süreci; iç tetkikleri, iç tetkik posedürüne uygun olarak olarak gerçekleştiriliyor mu, tetkik sonuçları iyileştirme faaliyetleri için girdi olarak kullanılıyor mu? DOKÜMANTE BİLGİ (9.2.2.f)</v>
      </c>
      <c r="E12" s="7"/>
      <c r="F12" s="22"/>
      <c r="G12" s="12" t="s">
        <v>17</v>
      </c>
      <c r="H12" s="21" t="str">
        <f t="shared" si="0"/>
        <v>Bahadır Payır &amp; Şenay Özdemir</v>
      </c>
      <c r="I12" s="97" t="s">
        <v>107</v>
      </c>
      <c r="J12" s="98"/>
      <c r="K12" s="50" t="s">
        <v>78</v>
      </c>
      <c r="L12" s="8"/>
      <c r="M12" s="8"/>
      <c r="N12" s="8"/>
      <c r="O12" s="8"/>
    </row>
    <row r="13" spans="2:15" ht="30.6" customHeight="1" x14ac:dyDescent="0.25">
      <c r="B13" s="9">
        <v>1</v>
      </c>
      <c r="C13" s="6">
        <v>7</v>
      </c>
      <c r="D13" s="43" t="str">
        <f>I2&amp; " süreci "&amp;  "belirlenen aralıklarda gözden geçiriliyor mu? DOKÜMANTE BİLGİ (9.3.3)"</f>
        <v>D05 SATINALMA YÖNETİMİ süreci belirlenen aralıklarda gözden geçiriliyor mu? DOKÜMANTE BİLGİ (9.3.3)</v>
      </c>
      <c r="E13" s="7"/>
      <c r="F13" s="22"/>
      <c r="G13" s="12" t="s">
        <v>18</v>
      </c>
      <c r="H13" s="21" t="str">
        <f t="shared" ref="H13:H24" si="1">$I$4</f>
        <v>Bahadır Payır &amp; Şenay Özdemir</v>
      </c>
      <c r="I13" s="99" t="s">
        <v>108</v>
      </c>
      <c r="J13" s="100"/>
      <c r="K13" s="50" t="s">
        <v>78</v>
      </c>
      <c r="L13" s="8"/>
      <c r="M13" s="8"/>
      <c r="N13" s="8"/>
      <c r="O13" s="8"/>
    </row>
    <row r="14" spans="2:15" ht="65.25" customHeight="1" x14ac:dyDescent="0.25">
      <c r="B14" s="9">
        <v>1</v>
      </c>
      <c r="C14" s="6">
        <v>8</v>
      </c>
      <c r="D14" s="43" t="str">
        <f>I2&amp; " süreci "&amp; " ile ilgili uygunsuzlar için etkili düzeltici faaliyetler gerçekleştiriliyor mu? DOKÜMANTE BİLGİ (10.2.2)"</f>
        <v>D05 SATINALMA YÖNETİMİ süreci  ile ilgili uygunsuzlar için etkili düzeltici faaliyetler gerçekleştiriliyor mu? DOKÜMANTE BİLGİ (10.2.2)</v>
      </c>
      <c r="E14" s="7"/>
      <c r="F14" s="22"/>
      <c r="G14" s="12" t="s">
        <v>19</v>
      </c>
      <c r="H14" s="21" t="str">
        <f t="shared" si="1"/>
        <v>Bahadır Payır &amp; Şenay Özdemir</v>
      </c>
      <c r="I14" s="101" t="s">
        <v>109</v>
      </c>
      <c r="J14" s="102"/>
      <c r="K14" s="50" t="s">
        <v>78</v>
      </c>
      <c r="L14" s="8"/>
      <c r="M14" s="32"/>
      <c r="N14" s="8"/>
      <c r="O14" s="49"/>
    </row>
    <row r="15" spans="2:15" ht="30.6" customHeight="1" x14ac:dyDescent="0.25">
      <c r="B15" s="9">
        <v>1</v>
      </c>
      <c r="C15" s="6">
        <v>9</v>
      </c>
      <c r="D15" s="43" t="str">
        <f>I2&amp; " süreci, "&amp;  "analiz ve değerlendirmenin sonuçlarını, yönetimin gözden geçirmesi çıktılarını iyileştirme faaliyetlerini belirlemek için kullanmakta mıdır?"</f>
        <v>D05 SATINALMA YÖNETİMİ süreci, analiz ve değerlendirmenin sonuçlarını, yönetimin gözden geçirmesi çıktılarını iyileştirme faaliyetlerini belirlemek için kullanmakta mıdır?</v>
      </c>
      <c r="E15" s="7"/>
      <c r="F15" s="22"/>
      <c r="G15" s="12" t="s">
        <v>20</v>
      </c>
      <c r="H15" s="21" t="str">
        <f t="shared" si="1"/>
        <v>Bahadır Payır &amp; Şenay Özdemir</v>
      </c>
      <c r="I15" s="101" t="s">
        <v>76</v>
      </c>
      <c r="J15" s="102"/>
      <c r="K15" s="50" t="s">
        <v>78</v>
      </c>
      <c r="L15" s="8"/>
      <c r="M15" s="8"/>
      <c r="N15" s="8"/>
      <c r="O15" s="8"/>
    </row>
    <row r="16" spans="2:15" ht="30.6" x14ac:dyDescent="0.25">
      <c r="B16" s="9">
        <v>2</v>
      </c>
      <c r="C16" s="6">
        <v>10</v>
      </c>
      <c r="D16" s="43" t="str">
        <f>I2&amp; " sürecinin; "&amp;  "altyapısı için ihtiyaçları belirlenmiş, sağlanmış mıdır, prosese ait altyapının bakımları gerçekleştirilmekte midir?"</f>
        <v>D05 SATINALMA YÖNETİMİ sürecinin; altyapısı için ihtiyaçları belirlenmiş, sağlanmış mıdır, prosese ait altyapının bakımları gerçekleştirilmekte midir?</v>
      </c>
      <c r="E16" s="7"/>
      <c r="F16" s="22"/>
      <c r="G16" s="12" t="s">
        <v>22</v>
      </c>
      <c r="H16" s="21" t="str">
        <f t="shared" si="1"/>
        <v>Bahadır Payır &amp; Şenay Özdemir</v>
      </c>
      <c r="I16" s="69" t="s">
        <v>87</v>
      </c>
      <c r="J16" s="70"/>
      <c r="K16" s="50" t="s">
        <v>78</v>
      </c>
      <c r="L16" s="8"/>
      <c r="M16" s="8"/>
      <c r="N16" s="8"/>
      <c r="O16" s="8"/>
    </row>
    <row r="17" spans="2:15" ht="30.6" x14ac:dyDescent="0.25">
      <c r="B17" s="9">
        <v>2</v>
      </c>
      <c r="C17" s="6">
        <v>11</v>
      </c>
      <c r="D17" s="43" t="str">
        <f>I2&amp; " sürecinin; "&amp; "çalışmalarını etkin şekilde yürütmesi için çevre şartları sağlanmış mıdır?"</f>
        <v>D05 SATINALMA YÖNETİMİ sürecinin; çalışmalarını etkin şekilde yürütmesi için çevre şartları sağlanmış mıdır?</v>
      </c>
      <c r="E17" s="7"/>
      <c r="F17" s="22"/>
      <c r="G17" s="12" t="s">
        <v>23</v>
      </c>
      <c r="H17" s="21" t="str">
        <f t="shared" si="1"/>
        <v>Bahadır Payır &amp; Şenay Özdemir</v>
      </c>
      <c r="I17" s="69" t="s">
        <v>92</v>
      </c>
      <c r="J17" s="70"/>
      <c r="K17" s="50" t="s">
        <v>78</v>
      </c>
      <c r="L17" s="8"/>
      <c r="M17" s="8"/>
      <c r="N17" s="8"/>
      <c r="O17" s="8"/>
    </row>
    <row r="18" spans="2:15" ht="30.6" x14ac:dyDescent="0.25">
      <c r="B18" s="9">
        <v>2</v>
      </c>
      <c r="C18" s="6">
        <v>12</v>
      </c>
      <c r="D18" s="43" t="str">
        <f>I2&amp; " sürecinin "&amp; "amaca uygun izleme ve ölçme ekipmanlarını kullanıyor, bunları tanımlıyor, izlenebilirliğini sağlıyor mu"</f>
        <v>D05 SATINALMA YÖNETİMİ sürecinin amaca uygun izleme ve ölçme ekipmanlarını kullanıyor, bunları tanımlıyor, izlenebilirliğini sağlıyor mu</v>
      </c>
      <c r="E18" s="7"/>
      <c r="F18" s="22"/>
      <c r="G18" s="12" t="s">
        <v>24</v>
      </c>
      <c r="H18" s="21" t="str">
        <f t="shared" si="1"/>
        <v>Bahadır Payır &amp; Şenay Özdemir</v>
      </c>
      <c r="I18" s="69" t="s">
        <v>92</v>
      </c>
      <c r="J18" s="70"/>
      <c r="K18" s="50" t="s">
        <v>78</v>
      </c>
      <c r="L18" s="8"/>
      <c r="M18" s="8"/>
      <c r="N18" s="8"/>
      <c r="O18" s="8"/>
    </row>
    <row r="19" spans="2:15" ht="34.200000000000003" x14ac:dyDescent="0.25">
      <c r="B19" s="9">
        <v>2</v>
      </c>
      <c r="C19" s="6">
        <v>13</v>
      </c>
      <c r="D19" s="43" t="str">
        <f>I2&amp; " sürecinin "&amp; "ölçme ekipmanlarının uluslararası izlenebilir doğrulama ve kalibrasyon faaliyetlerini gerçekleştiriyor, doğrulama ve kalibrasyon sonuçları ile ilgili gerekli tedbirleri alıyor mu? DOKÜMANTE BİLGİ (7.1.5.1)"</f>
        <v>D05 SATINALMA YÖNETİMİ sürecinin ölçme ekipmanlarının uluslararası izlenebilir doğrulama ve kalibrasyon faaliyetlerini gerçekleştiriyor, doğrulama ve kalibrasyon sonuçları ile ilgili gerekli tedbirleri alıyor mu? DOKÜMANTE BİLGİ (7.1.5.1)</v>
      </c>
      <c r="E19" s="7"/>
      <c r="F19" s="22"/>
      <c r="G19" s="12" t="s">
        <v>24</v>
      </c>
      <c r="H19" s="21" t="str">
        <f t="shared" si="1"/>
        <v>Bahadır Payır &amp; Şenay Özdemir</v>
      </c>
      <c r="I19" s="116"/>
      <c r="J19" s="117"/>
      <c r="K19" s="50" t="s">
        <v>78</v>
      </c>
      <c r="L19" s="8"/>
      <c r="M19" s="8"/>
      <c r="N19" s="8"/>
      <c r="O19" s="8"/>
    </row>
    <row r="20" spans="2:15" ht="30.6" x14ac:dyDescent="0.25">
      <c r="B20" s="9">
        <v>3</v>
      </c>
      <c r="C20" s="6">
        <v>14</v>
      </c>
      <c r="D20" s="44" t="str">
        <f>I2&amp; " sürecinin "&amp; "organizasyonu kalite politikasını ulaşıyormu ve özünü ifade edebiliyor mu? DOKÜMANTE BİLGİ (5.2.2.a)"</f>
        <v>D05 SATINALMA YÖNETİMİ sürecinin organizasyonu kalite politikasını ulaşıyormu ve özünü ifade edebiliyor mu? DOKÜMANTE BİLGİ (5.2.2.a)</v>
      </c>
      <c r="E20" s="20"/>
      <c r="F20" s="22"/>
      <c r="G20" s="12" t="s">
        <v>25</v>
      </c>
      <c r="H20" s="21" t="str">
        <f t="shared" si="1"/>
        <v>Bahadır Payır &amp; Şenay Özdemir</v>
      </c>
      <c r="I20" s="69" t="s">
        <v>102</v>
      </c>
      <c r="J20" s="70"/>
      <c r="K20" s="50" t="s">
        <v>78</v>
      </c>
      <c r="L20" s="8"/>
      <c r="M20" s="8"/>
      <c r="N20" s="8"/>
      <c r="O20" s="8"/>
    </row>
    <row r="21" spans="2:15" ht="34.200000000000003" x14ac:dyDescent="0.25">
      <c r="B21" s="9">
        <v>3</v>
      </c>
      <c r="C21" s="6">
        <v>15</v>
      </c>
      <c r="D21" s="44" t="str">
        <f>I2&amp; " sürecinin "&amp; "organizasyonuna ait roller, bu rollere ait görevler yazılı olarak belirlenmiş mi, rol sahipleri bu yazılı görev tanımlarına ulaşıyor ve gereklerini yapıyorlar mı?"</f>
        <v>D05 SATINALMA YÖNETİMİ sürecinin organizasyonuna ait roller, bu rollere ait görevler yazılı olarak belirlenmiş mi, rol sahipleri bu yazılı görev tanımlarına ulaşıyor ve gereklerini yapıyorlar mı?</v>
      </c>
      <c r="E21" s="20"/>
      <c r="F21" s="22"/>
      <c r="G21" s="12" t="s">
        <v>26</v>
      </c>
      <c r="H21" s="21" t="str">
        <f t="shared" si="1"/>
        <v>Bahadır Payır &amp; Şenay Özdemir</v>
      </c>
      <c r="I21" s="71" t="s">
        <v>90</v>
      </c>
      <c r="J21" s="70"/>
      <c r="K21" s="50" t="s">
        <v>78</v>
      </c>
      <c r="L21" s="8"/>
      <c r="M21" s="8"/>
      <c r="N21" s="8"/>
      <c r="O21" s="8"/>
    </row>
    <row r="22" spans="2:15" ht="30.6" customHeight="1" x14ac:dyDescent="0.25">
      <c r="B22" s="9">
        <v>3</v>
      </c>
      <c r="C22" s="6">
        <v>16</v>
      </c>
      <c r="D22" s="44" t="str">
        <f>I2&amp; " sürecinin "&amp; "organizasyonu için yeterlilik tanımlarına uygun personel tayin ve tedarik edilmiş midir?"</f>
        <v>D05 SATINALMA YÖNETİMİ sürecinin organizasyonu için yeterlilik tanımlarına uygun personel tayin ve tedarik edilmiş midir?</v>
      </c>
      <c r="E22" s="20"/>
      <c r="F22" s="22"/>
      <c r="G22" s="12" t="s">
        <v>27</v>
      </c>
      <c r="H22" s="21" t="str">
        <f t="shared" si="1"/>
        <v>Bahadır Payır &amp; Şenay Özdemir</v>
      </c>
      <c r="I22" s="91" t="s">
        <v>110</v>
      </c>
      <c r="J22" s="92"/>
      <c r="K22" s="50" t="s">
        <v>78</v>
      </c>
      <c r="L22" s="8"/>
      <c r="M22" s="8"/>
      <c r="N22" s="8"/>
      <c r="O22" s="8"/>
    </row>
    <row r="23" spans="2:15" ht="34.200000000000003" customHeight="1" x14ac:dyDescent="0.25">
      <c r="B23" s="9">
        <v>3</v>
      </c>
      <c r="C23" s="6">
        <v>17</v>
      </c>
      <c r="D23" s="44" t="str">
        <f>I2&amp; " sürecinin "&amp; "organizasyonunda yer alan roller için yeterlilikler belirlenmiş ve bu yeterliliklerin sağlanması için eğitim vb. faaliyetler gerçekleştiriliyor ve etkinliği değerlendiriliyor mu? DOKÜMANTE BİLGİ (7.2.d)"</f>
        <v>D05 SATINALMA YÖNETİMİ sürecinin organizasyonunda yer alan roller için yeterlilikler belirlenmiş ve bu yeterliliklerin sağlanması için eğitim vb. faaliyetler gerçekleştiriliyor ve etkinliği değerlendiriliyor mu? DOKÜMANTE BİLGİ (7.2.d)</v>
      </c>
      <c r="E23" s="20"/>
      <c r="F23" s="22"/>
      <c r="G23" s="12" t="s">
        <v>28</v>
      </c>
      <c r="H23" s="21" t="str">
        <f t="shared" si="1"/>
        <v>Bahadır Payır &amp; Şenay Özdemir</v>
      </c>
      <c r="I23" s="90" t="s">
        <v>111</v>
      </c>
      <c r="J23" s="68"/>
      <c r="K23" s="50" t="s">
        <v>78</v>
      </c>
      <c r="L23" s="8"/>
      <c r="M23" s="8"/>
      <c r="N23" s="8"/>
      <c r="O23" s="8"/>
    </row>
    <row r="24" spans="2:15" ht="30.6" x14ac:dyDescent="0.25">
      <c r="B24" s="9">
        <v>3</v>
      </c>
      <c r="C24" s="6">
        <v>18</v>
      </c>
      <c r="D24" s="44" t="str">
        <f>I2&amp; " sürecinin "&amp; "organizasyonunda görev alan personelin, amaçlara ulaşmak veya amaçlardan sapma konularında farkındalıkları yeterli midir?"</f>
        <v>D05 SATINALMA YÖNETİMİ sürecinin organizasyonunda görev alan personelin, amaçlara ulaşmak veya amaçlardan sapma konularında farkındalıkları yeterli midir?</v>
      </c>
      <c r="E24" s="20"/>
      <c r="F24" s="22"/>
      <c r="G24" s="12" t="s">
        <v>29</v>
      </c>
      <c r="H24" s="21" t="str">
        <f t="shared" si="1"/>
        <v>Bahadır Payır &amp; Şenay Özdemir</v>
      </c>
      <c r="I24" s="67" t="s">
        <v>112</v>
      </c>
      <c r="J24" s="68"/>
      <c r="K24" s="50" t="s">
        <v>78</v>
      </c>
      <c r="L24" s="8"/>
      <c r="M24" s="8"/>
      <c r="N24" s="8"/>
      <c r="O24" s="8"/>
    </row>
    <row r="25" spans="2:15" ht="67.2" x14ac:dyDescent="0.25">
      <c r="B25" s="18">
        <v>4</v>
      </c>
      <c r="C25" s="6">
        <v>19</v>
      </c>
      <c r="D25" s="45" t="s">
        <v>44</v>
      </c>
      <c r="E25" s="27"/>
      <c r="F25" s="22"/>
      <c r="G25" s="12" t="s">
        <v>43</v>
      </c>
      <c r="H25" s="25" t="s">
        <v>45</v>
      </c>
      <c r="I25" s="71" t="s">
        <v>93</v>
      </c>
      <c r="J25" s="70"/>
      <c r="K25" s="50" t="s">
        <v>78</v>
      </c>
      <c r="L25" s="8"/>
      <c r="M25" s="8"/>
      <c r="N25" s="8"/>
      <c r="O25" s="8"/>
    </row>
    <row r="26" spans="2:15" ht="65.25" customHeight="1" x14ac:dyDescent="0.25">
      <c r="B26" s="18">
        <v>4</v>
      </c>
      <c r="C26" s="6">
        <v>20</v>
      </c>
      <c r="D26" s="45" t="s">
        <v>46</v>
      </c>
      <c r="E26" s="27"/>
      <c r="F26" s="22"/>
      <c r="G26" s="12" t="s">
        <v>48</v>
      </c>
      <c r="H26" s="25" t="s">
        <v>47</v>
      </c>
      <c r="I26" s="69" t="s">
        <v>88</v>
      </c>
      <c r="J26" s="70"/>
      <c r="K26" s="50" t="s">
        <v>78</v>
      </c>
      <c r="L26" s="8"/>
      <c r="M26" s="32"/>
      <c r="N26" s="8"/>
      <c r="O26" s="8"/>
    </row>
    <row r="27" spans="2:15" ht="54.75" customHeight="1" x14ac:dyDescent="0.25">
      <c r="B27" s="18">
        <v>4</v>
      </c>
      <c r="C27" s="6">
        <v>21</v>
      </c>
      <c r="D27" s="45" t="s">
        <v>49</v>
      </c>
      <c r="E27" s="27"/>
      <c r="F27" s="22"/>
      <c r="G27" s="12" t="s">
        <v>50</v>
      </c>
      <c r="H27" s="25" t="s">
        <v>42</v>
      </c>
      <c r="I27" s="71" t="s">
        <v>94</v>
      </c>
      <c r="J27" s="70"/>
      <c r="K27" s="50" t="s">
        <v>78</v>
      </c>
      <c r="L27" s="8"/>
      <c r="M27" s="32"/>
      <c r="N27" s="8"/>
      <c r="O27" s="8"/>
    </row>
    <row r="28" spans="2:15" ht="26.4" x14ac:dyDescent="0.25">
      <c r="B28" s="18">
        <v>4</v>
      </c>
      <c r="C28" s="6">
        <v>22</v>
      </c>
      <c r="D28" s="46" t="s">
        <v>51</v>
      </c>
      <c r="E28" s="27"/>
      <c r="F28" s="22"/>
      <c r="G28" s="28" t="s">
        <v>52</v>
      </c>
      <c r="H28" s="25" t="s">
        <v>53</v>
      </c>
      <c r="I28" s="71" t="s">
        <v>95</v>
      </c>
      <c r="J28" s="70"/>
      <c r="K28" s="50" t="s">
        <v>78</v>
      </c>
      <c r="L28" s="8"/>
      <c r="M28" s="8"/>
      <c r="N28" s="8"/>
      <c r="O28" s="8"/>
    </row>
    <row r="29" spans="2:15" ht="54" customHeight="1" x14ac:dyDescent="0.25">
      <c r="B29" s="18">
        <v>4</v>
      </c>
      <c r="C29" s="6">
        <v>23</v>
      </c>
      <c r="D29" s="45" t="s">
        <v>54</v>
      </c>
      <c r="E29" s="27"/>
      <c r="F29" s="22"/>
      <c r="G29" s="28" t="s">
        <v>55</v>
      </c>
      <c r="H29" s="25" t="s">
        <v>56</v>
      </c>
      <c r="I29" s="71" t="s">
        <v>99</v>
      </c>
      <c r="J29" s="70"/>
      <c r="K29" s="50" t="s">
        <v>78</v>
      </c>
      <c r="L29" s="8"/>
      <c r="M29" s="8"/>
      <c r="N29" s="32"/>
      <c r="O29" s="8"/>
    </row>
    <row r="30" spans="2:15" ht="75.75" customHeight="1" x14ac:dyDescent="0.25">
      <c r="B30" s="18">
        <v>4</v>
      </c>
      <c r="C30" s="6">
        <v>24</v>
      </c>
      <c r="D30" s="45" t="s">
        <v>57</v>
      </c>
      <c r="E30" s="27"/>
      <c r="F30" s="22"/>
      <c r="G30" s="28" t="s">
        <v>55</v>
      </c>
      <c r="H30" s="24" t="s">
        <v>58</v>
      </c>
      <c r="I30" s="71" t="s">
        <v>115</v>
      </c>
      <c r="J30" s="70"/>
      <c r="K30" s="50" t="s">
        <v>78</v>
      </c>
      <c r="L30" s="8"/>
      <c r="M30" s="8"/>
      <c r="N30" s="8"/>
      <c r="O30" s="8"/>
    </row>
    <row r="31" spans="2:15" ht="52.5" customHeight="1" x14ac:dyDescent="0.25">
      <c r="B31" s="18">
        <v>4</v>
      </c>
      <c r="C31" s="6">
        <v>25</v>
      </c>
      <c r="D31" s="46" t="s">
        <v>75</v>
      </c>
      <c r="E31" s="27"/>
      <c r="F31" s="22"/>
      <c r="G31" s="28" t="s">
        <v>55</v>
      </c>
      <c r="H31" s="24" t="s">
        <v>59</v>
      </c>
      <c r="I31" s="67" t="s">
        <v>96</v>
      </c>
      <c r="J31" s="68"/>
      <c r="K31" s="50" t="s">
        <v>78</v>
      </c>
      <c r="L31" s="8"/>
      <c r="M31" s="8"/>
      <c r="N31" s="32"/>
      <c r="O31" s="8"/>
    </row>
    <row r="32" spans="2:15" ht="53.25" customHeight="1" x14ac:dyDescent="0.25">
      <c r="B32" s="18">
        <v>4</v>
      </c>
      <c r="C32" s="6">
        <v>26</v>
      </c>
      <c r="D32" s="46" t="s">
        <v>60</v>
      </c>
      <c r="E32" s="27"/>
      <c r="F32" s="22"/>
      <c r="G32" s="19" t="s">
        <v>61</v>
      </c>
      <c r="H32" s="24" t="s">
        <v>59</v>
      </c>
      <c r="I32" s="90"/>
      <c r="J32" s="68"/>
      <c r="K32" s="50" t="s">
        <v>78</v>
      </c>
      <c r="L32" s="8"/>
      <c r="M32" s="32"/>
      <c r="N32" s="8"/>
      <c r="O32" s="8"/>
    </row>
    <row r="33" spans="2:15" ht="51" x14ac:dyDescent="0.25">
      <c r="B33" s="18">
        <v>4</v>
      </c>
      <c r="C33" s="6">
        <v>27</v>
      </c>
      <c r="D33" s="46" t="s">
        <v>64</v>
      </c>
      <c r="E33" s="27"/>
      <c r="F33" s="22"/>
      <c r="G33" s="19" t="s">
        <v>63</v>
      </c>
      <c r="H33" s="29" t="s">
        <v>62</v>
      </c>
      <c r="I33" s="67" t="s">
        <v>97</v>
      </c>
      <c r="J33" s="68"/>
      <c r="K33" s="50" t="s">
        <v>78</v>
      </c>
      <c r="L33" s="8"/>
      <c r="M33" s="8"/>
      <c r="N33" s="32"/>
      <c r="O33" s="8"/>
    </row>
    <row r="34" spans="2:15" ht="42" customHeight="1" x14ac:dyDescent="0.25">
      <c r="B34" s="18">
        <v>4</v>
      </c>
      <c r="C34" s="6">
        <v>28</v>
      </c>
      <c r="D34" s="46" t="s">
        <v>65</v>
      </c>
      <c r="E34" s="27"/>
      <c r="F34" s="22"/>
      <c r="G34" s="30" t="s">
        <v>66</v>
      </c>
      <c r="H34" s="25" t="s">
        <v>41</v>
      </c>
      <c r="I34" s="67" t="s">
        <v>98</v>
      </c>
      <c r="J34" s="68"/>
      <c r="K34" s="50" t="s">
        <v>78</v>
      </c>
      <c r="L34" s="8"/>
      <c r="M34" s="8"/>
      <c r="N34" s="32"/>
      <c r="O34" s="8"/>
    </row>
    <row r="35" spans="2:15" ht="40.799999999999997" x14ac:dyDescent="0.25">
      <c r="B35" s="18">
        <v>4</v>
      </c>
      <c r="C35" s="6">
        <v>29</v>
      </c>
      <c r="D35" s="46" t="s">
        <v>67</v>
      </c>
      <c r="E35" s="27"/>
      <c r="F35" s="22"/>
      <c r="G35" s="31" t="s">
        <v>68</v>
      </c>
      <c r="H35" s="24" t="s">
        <v>69</v>
      </c>
      <c r="I35" s="69" t="s">
        <v>77</v>
      </c>
      <c r="J35" s="70"/>
      <c r="K35" s="50" t="s">
        <v>78</v>
      </c>
      <c r="L35" s="8"/>
      <c r="M35" s="8"/>
      <c r="N35" s="8"/>
      <c r="O35" s="8"/>
    </row>
    <row r="36" spans="2:15" ht="40.799999999999997" x14ac:dyDescent="0.25">
      <c r="B36" s="18">
        <v>4</v>
      </c>
      <c r="C36" s="6">
        <v>30</v>
      </c>
      <c r="D36" s="47" t="s">
        <v>70</v>
      </c>
      <c r="E36" s="27"/>
      <c r="F36" s="22"/>
      <c r="G36" s="19" t="s">
        <v>73</v>
      </c>
      <c r="H36" s="24" t="s">
        <v>69</v>
      </c>
      <c r="I36" s="69" t="s">
        <v>77</v>
      </c>
      <c r="J36" s="70"/>
      <c r="K36" s="50" t="s">
        <v>78</v>
      </c>
      <c r="L36" s="8"/>
      <c r="M36" s="32"/>
      <c r="N36" s="8"/>
      <c r="O36" s="8"/>
    </row>
    <row r="37" spans="2:15" ht="77.25" customHeight="1" x14ac:dyDescent="0.25">
      <c r="B37" s="18">
        <v>4</v>
      </c>
      <c r="C37" s="6">
        <v>31</v>
      </c>
      <c r="D37" s="46" t="s">
        <v>71</v>
      </c>
      <c r="E37" s="27"/>
      <c r="F37" s="22"/>
      <c r="G37" s="19" t="s">
        <v>72</v>
      </c>
      <c r="H37" s="29" t="s">
        <v>74</v>
      </c>
      <c r="I37" s="73" t="s">
        <v>113</v>
      </c>
      <c r="J37" s="74"/>
      <c r="K37" s="50" t="s">
        <v>78</v>
      </c>
      <c r="L37" s="8"/>
      <c r="M37" s="8"/>
      <c r="N37" s="32"/>
      <c r="O37" s="48"/>
    </row>
    <row r="38" spans="2:15" ht="30.6" x14ac:dyDescent="0.25">
      <c r="B38" s="9">
        <v>5</v>
      </c>
      <c r="C38" s="6">
        <v>32</v>
      </c>
      <c r="D38" s="43" t="str">
        <f>I2&amp; " sürecinin "&amp; "sürecinin tüm işlemleri için oluşturulmuş ve kontrol edilen prosedü(ler) mevcut mudur?"</f>
        <v>D05 SATINALMA YÖNETİMİ sürecinin sürecinin tüm işlemleri için oluşturulmuş ve kontrol edilen prosedü(ler) mevcut mudur?</v>
      </c>
      <c r="E38" s="7"/>
      <c r="F38" s="22"/>
      <c r="G38" s="12" t="s">
        <v>30</v>
      </c>
      <c r="H38" s="21" t="str">
        <f t="shared" ref="H38:H41" si="2">$I$4</f>
        <v>Bahadır Payır &amp; Şenay Özdemir</v>
      </c>
      <c r="I38" s="71" t="s">
        <v>99</v>
      </c>
      <c r="J38" s="70"/>
      <c r="K38" s="50" t="s">
        <v>78</v>
      </c>
      <c r="L38" s="8"/>
      <c r="M38" s="8"/>
      <c r="N38" s="8"/>
      <c r="O38" s="8"/>
    </row>
    <row r="39" spans="2:15" ht="30.6" x14ac:dyDescent="0.25">
      <c r="B39" s="9">
        <v>6</v>
      </c>
      <c r="C39" s="6">
        <v>33</v>
      </c>
      <c r="D39" s="43" t="str">
        <f>I2&amp; " sürecinin "&amp; "performansı ve etkinliği değerlendirilmekte midir? DOKÜMANTE BİLGİ (9.1.1)"</f>
        <v>D05 SATINALMA YÖNETİMİ sürecinin performansı ve etkinliği değerlendirilmekte midir? DOKÜMANTE BİLGİ (9.1.1)</v>
      </c>
      <c r="E39" s="7"/>
      <c r="F39" s="22"/>
      <c r="G39" s="12" t="s">
        <v>31</v>
      </c>
      <c r="H39" s="21" t="str">
        <f t="shared" si="2"/>
        <v>Bahadır Payır &amp; Şenay Özdemir</v>
      </c>
      <c r="I39" s="69" t="s">
        <v>114</v>
      </c>
      <c r="J39" s="70"/>
      <c r="K39" s="50" t="s">
        <v>78</v>
      </c>
      <c r="L39" s="8"/>
      <c r="M39" s="8"/>
      <c r="N39" s="8"/>
      <c r="O39" s="8"/>
    </row>
    <row r="40" spans="2:15" ht="30.6" x14ac:dyDescent="0.25">
      <c r="B40" s="9">
        <v>6</v>
      </c>
      <c r="C40" s="6">
        <v>34</v>
      </c>
      <c r="D40" s="43" t="str">
        <f>I2&amp; " sürecinin "&amp; "sürecinin müşterlerinin memnuniyeti ölçülüyor mu?"</f>
        <v>D05 SATINALMA YÖNETİMİ sürecinin sürecinin müşterlerinin memnuniyeti ölçülüyor mu?</v>
      </c>
      <c r="E40" s="7"/>
      <c r="F40" s="22"/>
      <c r="G40" s="12" t="s">
        <v>32</v>
      </c>
      <c r="H40" s="21" t="str">
        <f t="shared" si="2"/>
        <v>Bahadır Payır &amp; Şenay Özdemir</v>
      </c>
      <c r="I40" s="69" t="s">
        <v>100</v>
      </c>
      <c r="J40" s="70"/>
      <c r="K40" s="50" t="s">
        <v>78</v>
      </c>
      <c r="L40" s="8"/>
      <c r="M40" s="8"/>
      <c r="N40" s="8"/>
      <c r="O40" s="8"/>
    </row>
    <row r="41" spans="2:15" ht="30.6" x14ac:dyDescent="0.25">
      <c r="B41" s="9">
        <v>6</v>
      </c>
      <c r="C41" s="6">
        <v>35</v>
      </c>
      <c r="D41" s="43" t="str">
        <f>I2&amp; " sürecinin "&amp; "izlenmesi ve ölçülmesine ait sonuçlar, istatitiksel yöntemler ile analiz ediliyor ve değerlendiriliyor mu?"</f>
        <v>D05 SATINALMA YÖNETİMİ sürecinin izlenmesi ve ölçülmesine ait sonuçlar, istatitiksel yöntemler ile analiz ediliyor ve değerlendiriliyor mu?</v>
      </c>
      <c r="E41" s="7"/>
      <c r="F41" s="22"/>
      <c r="G41" s="12" t="s">
        <v>33</v>
      </c>
      <c r="H41" s="21" t="str">
        <f t="shared" si="2"/>
        <v>Bahadır Payır &amp; Şenay Özdemir</v>
      </c>
      <c r="I41" s="69" t="s">
        <v>100</v>
      </c>
      <c r="J41" s="70"/>
      <c r="K41" s="50" t="s">
        <v>78</v>
      </c>
      <c r="L41" s="8"/>
      <c r="M41" s="8"/>
      <c r="N41" s="8"/>
      <c r="O41" s="8"/>
    </row>
    <row r="42" spans="2:15" x14ac:dyDescent="0.25">
      <c r="C42" s="23" t="s">
        <v>38</v>
      </c>
      <c r="K42" s="1">
        <v>35</v>
      </c>
    </row>
    <row r="44" spans="2:15" ht="15.6" x14ac:dyDescent="0.3">
      <c r="C44" s="51" t="s">
        <v>79</v>
      </c>
      <c r="D44" s="52"/>
      <c r="E44" s="52"/>
      <c r="F44" s="53"/>
      <c r="G44" s="52"/>
      <c r="H44" s="52"/>
      <c r="I44" s="52"/>
      <c r="J44" s="52"/>
      <c r="K44" s="52"/>
    </row>
    <row r="45" spans="2:15" ht="14.4" x14ac:dyDescent="0.3">
      <c r="C45" s="54" t="s">
        <v>80</v>
      </c>
      <c r="D45" s="52"/>
      <c r="E45" s="52"/>
      <c r="F45" s="53"/>
      <c r="G45" s="52"/>
      <c r="H45" s="52"/>
      <c r="I45" s="52"/>
      <c r="J45" s="52"/>
      <c r="K45" s="52"/>
    </row>
    <row r="46" spans="2:15" ht="14.4" x14ac:dyDescent="0.3">
      <c r="C46" s="75" t="s">
        <v>81</v>
      </c>
      <c r="D46" s="76"/>
      <c r="E46" s="77"/>
      <c r="F46" s="53"/>
      <c r="G46" s="52"/>
      <c r="H46" s="52"/>
      <c r="I46" s="52"/>
      <c r="J46" s="52"/>
      <c r="K46" s="52"/>
    </row>
    <row r="47" spans="2:15" ht="14.4" x14ac:dyDescent="0.3">
      <c r="C47" s="55"/>
      <c r="D47" s="56"/>
      <c r="E47" s="57"/>
      <c r="F47" s="53"/>
      <c r="G47" s="52"/>
      <c r="H47" s="52"/>
      <c r="I47" s="52"/>
      <c r="J47" s="52"/>
      <c r="K47" s="52"/>
    </row>
    <row r="48" spans="2:15" ht="14.4" x14ac:dyDescent="0.3">
      <c r="C48" s="58"/>
      <c r="D48" s="52"/>
      <c r="E48" s="52"/>
      <c r="F48" s="53"/>
      <c r="G48" s="52"/>
      <c r="H48" s="52"/>
      <c r="I48" s="52"/>
      <c r="J48" s="52"/>
      <c r="K48" s="52"/>
    </row>
    <row r="49" spans="3:11" ht="14.4" x14ac:dyDescent="0.3">
      <c r="C49" s="54" t="s">
        <v>82</v>
      </c>
      <c r="D49" s="52"/>
      <c r="E49" s="52"/>
      <c r="F49" s="53"/>
      <c r="G49" s="52"/>
      <c r="H49" s="52"/>
      <c r="I49" s="52"/>
      <c r="J49" s="52"/>
      <c r="K49" s="52"/>
    </row>
    <row r="50" spans="3:11" ht="14.4" x14ac:dyDescent="0.3">
      <c r="C50" s="78" t="s">
        <v>101</v>
      </c>
      <c r="D50" s="79"/>
      <c r="E50" s="80"/>
      <c r="F50" s="53"/>
      <c r="G50" s="52"/>
      <c r="H50" s="52"/>
      <c r="I50" s="52"/>
      <c r="J50" s="52"/>
      <c r="K50" s="52"/>
    </row>
    <row r="51" spans="3:11" ht="30.6" customHeight="1" x14ac:dyDescent="0.3">
      <c r="C51" s="81"/>
      <c r="D51" s="82"/>
      <c r="E51" s="83"/>
      <c r="F51" s="53"/>
      <c r="G51" s="52"/>
      <c r="H51" s="52"/>
      <c r="I51" s="52"/>
      <c r="J51" s="52"/>
      <c r="K51" s="52"/>
    </row>
    <row r="52" spans="3:11" ht="14.4" x14ac:dyDescent="0.3">
      <c r="C52" s="58"/>
      <c r="D52" s="52"/>
      <c r="E52" s="52"/>
      <c r="F52" s="53"/>
      <c r="G52" s="52"/>
      <c r="H52" s="52"/>
      <c r="I52" s="52"/>
      <c r="J52" s="52"/>
      <c r="K52" s="52"/>
    </row>
    <row r="53" spans="3:11" ht="14.4" x14ac:dyDescent="0.3">
      <c r="C53" s="54" t="s">
        <v>83</v>
      </c>
      <c r="D53" s="52"/>
      <c r="E53" s="52"/>
      <c r="F53" s="53"/>
      <c r="G53" s="52"/>
      <c r="H53" s="52"/>
      <c r="I53" s="52"/>
      <c r="J53" s="52"/>
      <c r="K53" s="52"/>
    </row>
    <row r="54" spans="3:11" ht="14.4" x14ac:dyDescent="0.3">
      <c r="C54" s="84"/>
      <c r="D54" s="85"/>
      <c r="E54" s="59"/>
      <c r="F54" s="53"/>
      <c r="G54" s="52"/>
      <c r="H54" s="52"/>
      <c r="I54" s="52"/>
      <c r="J54" s="52"/>
      <c r="K54" s="52"/>
    </row>
    <row r="55" spans="3:11" ht="14.4" x14ac:dyDescent="0.3">
      <c r="C55" s="60"/>
      <c r="D55" s="56"/>
      <c r="E55" s="57"/>
      <c r="F55" s="53"/>
      <c r="G55" s="52"/>
      <c r="H55" s="52"/>
      <c r="I55" s="52"/>
      <c r="J55" s="52"/>
      <c r="K55" s="52"/>
    </row>
    <row r="56" spans="3:11" ht="15.6" x14ac:dyDescent="0.3">
      <c r="C56" s="51" t="s">
        <v>84</v>
      </c>
      <c r="D56" s="52"/>
      <c r="E56" s="52"/>
      <c r="F56" s="53"/>
      <c r="G56" s="52"/>
      <c r="H56" s="52"/>
      <c r="I56" s="52"/>
      <c r="J56" s="52"/>
      <c r="K56" s="52"/>
    </row>
    <row r="57" spans="3:11" ht="14.4" x14ac:dyDescent="0.3">
      <c r="C57" s="72">
        <v>100</v>
      </c>
      <c r="D57" s="72"/>
      <c r="E57" s="72"/>
      <c r="F57" s="53"/>
      <c r="G57" s="52"/>
      <c r="H57" s="52"/>
      <c r="I57" s="52"/>
      <c r="J57" s="52"/>
      <c r="K57" s="52"/>
    </row>
    <row r="58" spans="3:11" ht="14.4" x14ac:dyDescent="0.3">
      <c r="C58" s="61"/>
      <c r="D58" s="52"/>
      <c r="E58" s="52"/>
      <c r="F58" s="53"/>
      <c r="G58" s="62"/>
      <c r="H58" s="52"/>
      <c r="I58" s="52"/>
      <c r="J58" s="52"/>
      <c r="K58" s="52"/>
    </row>
    <row r="59" spans="3:11" ht="14.4" x14ac:dyDescent="0.3">
      <c r="C59" s="61"/>
      <c r="D59" s="52"/>
      <c r="E59" s="52"/>
      <c r="F59" s="53"/>
      <c r="G59" s="65" t="s">
        <v>85</v>
      </c>
      <c r="H59" s="66"/>
      <c r="I59" s="63" t="s">
        <v>104</v>
      </c>
      <c r="J59" s="64"/>
      <c r="K59" s="64"/>
    </row>
    <row r="60" spans="3:11" ht="14.4" x14ac:dyDescent="0.3">
      <c r="C60" s="61"/>
      <c r="D60" s="52"/>
      <c r="E60" s="52"/>
      <c r="F60" s="53"/>
      <c r="G60" s="63" t="s">
        <v>89</v>
      </c>
      <c r="H60" s="64"/>
      <c r="I60" s="64"/>
      <c r="J60" s="64"/>
      <c r="K60" s="64"/>
    </row>
  </sheetData>
  <mergeCells count="51">
    <mergeCell ref="K4:O4"/>
    <mergeCell ref="I28:J28"/>
    <mergeCell ref="B5:B6"/>
    <mergeCell ref="I5:J6"/>
    <mergeCell ref="I7:J7"/>
    <mergeCell ref="I8:J8"/>
    <mergeCell ref="I9:J9"/>
    <mergeCell ref="H5:H6"/>
    <mergeCell ref="C5:C6"/>
    <mergeCell ref="E5:E6"/>
    <mergeCell ref="I19:J19"/>
    <mergeCell ref="I25:J25"/>
    <mergeCell ref="I26:J26"/>
    <mergeCell ref="I27:J27"/>
    <mergeCell ref="K5:N5"/>
    <mergeCell ref="G5:G6"/>
    <mergeCell ref="G2:H2"/>
    <mergeCell ref="F5:F6"/>
    <mergeCell ref="I17:J17"/>
    <mergeCell ref="I11:J11"/>
    <mergeCell ref="I12:J12"/>
    <mergeCell ref="I13:J13"/>
    <mergeCell ref="I14:J14"/>
    <mergeCell ref="I15:J15"/>
    <mergeCell ref="I16:J16"/>
    <mergeCell ref="I10:J10"/>
    <mergeCell ref="C4:D4"/>
    <mergeCell ref="D5:D6"/>
    <mergeCell ref="I33:J33"/>
    <mergeCell ref="I18:J18"/>
    <mergeCell ref="I20:J20"/>
    <mergeCell ref="I21:J21"/>
    <mergeCell ref="I30:J30"/>
    <mergeCell ref="I31:J31"/>
    <mergeCell ref="I32:J32"/>
    <mergeCell ref="I22:J22"/>
    <mergeCell ref="I23:J23"/>
    <mergeCell ref="I24:J24"/>
    <mergeCell ref="I29:J29"/>
    <mergeCell ref="I34:J34"/>
    <mergeCell ref="I35:J35"/>
    <mergeCell ref="I36:J36"/>
    <mergeCell ref="I38:J38"/>
    <mergeCell ref="C57:E57"/>
    <mergeCell ref="I41:J41"/>
    <mergeCell ref="I39:J39"/>
    <mergeCell ref="I37:J37"/>
    <mergeCell ref="C46:E46"/>
    <mergeCell ref="C50:E51"/>
    <mergeCell ref="C54:D54"/>
    <mergeCell ref="I40:J40"/>
  </mergeCells>
  <conditionalFormatting sqref="F7:F41">
    <cfRule type="expression" dxfId="0" priority="2">
      <formula>F7="N/A"</formula>
    </cfRule>
  </conditionalFormatting>
  <dataValidations count="1">
    <dataValidation type="list" allowBlank="1" showInputMessage="1" showErrorMessage="1" sqref="F7:F41" xr:uid="{00000000-0002-0000-0000-000000000000}">
      <formula1>"N/A"</formula1>
    </dataValidation>
  </dataValidations>
  <printOptions horizontalCentered="1"/>
  <pageMargins left="0.15748031496062992" right="0.15748031496062992" top="0.31496062992125984" bottom="0.35433070866141736" header="0.23622047244094491" footer="0.15748031496062992"/>
  <pageSetup paperSize="9" scale="82" fitToHeight="0" orientation="landscape" r:id="rId1"/>
  <headerFooter>
    <oddFooter xml:space="preserve">&amp;R&amp;"Arial,Normal"Y03 F27(1)_07.04.2025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SORU LİSTESİ</vt:lpstr>
      <vt:lpstr>'SORU LİSTESİ'!Yazdırma_Alanı</vt:lpstr>
      <vt:lpstr>'SORU LİSTESİ'!Yazdırma_Başlıkları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2025-04-29T09:00:55Z</dcterms:modified>
</cp:coreProperties>
</file>