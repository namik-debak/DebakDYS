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B812BCAC-A140-4EC5-8A7D-4F662F90CA21}" xr6:coauthVersionLast="47" xr6:coauthVersionMax="47" xr10:uidLastSave="{00000000-0000-0000-0000-000000000000}"/>
  <bookViews>
    <workbookView xWindow="-108" yWindow="-108" windowWidth="23256" windowHeight="12456" tabRatio="541" xr2:uid="{00000000-000D-0000-FFFF-FFFF00000000}"/>
  </bookViews>
  <sheets>
    <sheet name="SORU LİSTESİ" sheetId="2" r:id="rId1"/>
  </sheets>
  <definedNames>
    <definedName name="_xlnm.Print_Area" localSheetId="0">'SORU LİSTESİ'!$C$2:$O$32</definedName>
    <definedName name="_xlnm.Print_Titles" localSheetId="0">'SORU LİSTESİ'!$2:$6</definedName>
  </definedNames>
  <calcPr calcId="191029"/>
</workbook>
</file>

<file path=xl/calcChain.xml><?xml version="1.0" encoding="utf-8"?>
<calcChain xmlns="http://schemas.openxmlformats.org/spreadsheetml/2006/main">
  <c r="H25" i="2" l="1"/>
  <c r="H26" i="2"/>
  <c r="H27" i="2"/>
  <c r="D31" i="2" l="1"/>
  <c r="D30" i="2"/>
  <c r="D29" i="2"/>
  <c r="H31" i="2"/>
  <c r="H30" i="2"/>
  <c r="H29" i="2"/>
  <c r="H28" i="2"/>
  <c r="H24" i="2"/>
  <c r="D28" i="2"/>
  <c r="D24" i="2"/>
  <c r="D23" i="2"/>
  <c r="D22" i="2"/>
  <c r="D21" i="2"/>
  <c r="D20" i="2"/>
  <c r="H19" i="2"/>
  <c r="D19" i="2"/>
  <c r="D18" i="2"/>
  <c r="D17" i="2"/>
  <c r="D16" i="2"/>
  <c r="H23" i="2"/>
  <c r="H22" i="2"/>
  <c r="H21" i="2"/>
  <c r="H20" i="2"/>
  <c r="H18" i="2"/>
  <c r="H17" i="2"/>
  <c r="H15" i="2"/>
  <c r="H16" i="2"/>
  <c r="D15" i="2"/>
  <c r="H13" i="2"/>
  <c r="H14" i="2"/>
  <c r="D13" i="2"/>
  <c r="D14" i="2"/>
  <c r="H12" i="2"/>
  <c r="D12" i="2"/>
  <c r="H11" i="2"/>
  <c r="H10" i="2"/>
  <c r="D11" i="2"/>
  <c r="D10" i="2"/>
  <c r="H9" i="2"/>
  <c r="D9" i="2"/>
  <c r="H8" i="2"/>
  <c r="H7" i="2"/>
  <c r="D8" i="2"/>
  <c r="D7" i="2"/>
</calcChain>
</file>

<file path=xl/sharedStrings.xml><?xml version="1.0" encoding="utf-8"?>
<sst xmlns="http://schemas.openxmlformats.org/spreadsheetml/2006/main" count="108" uniqueCount="79">
  <si>
    <t>DENETİM  RAPORU</t>
  </si>
  <si>
    <t>GÖZLEM / DELİL</t>
  </si>
  <si>
    <t>BULGU</t>
  </si>
  <si>
    <t>Evet</t>
  </si>
  <si>
    <t>Majör</t>
  </si>
  <si>
    <t>Minör</t>
  </si>
  <si>
    <t>İyil.</t>
  </si>
  <si>
    <t>Şart No</t>
  </si>
  <si>
    <t>NO</t>
  </si>
  <si>
    <t>DF</t>
  </si>
  <si>
    <t>No</t>
  </si>
  <si>
    <t>TİP</t>
  </si>
  <si>
    <t>Denetçi(ler):</t>
  </si>
  <si>
    <t>4.4</t>
  </si>
  <si>
    <t>6.2</t>
  </si>
  <si>
    <t>6.1</t>
  </si>
  <si>
    <t>6.3</t>
  </si>
  <si>
    <t>9.2</t>
  </si>
  <si>
    <t>9.3</t>
  </si>
  <si>
    <t>10.2</t>
  </si>
  <si>
    <t>10.3</t>
  </si>
  <si>
    <t>7.4</t>
  </si>
  <si>
    <t>7.1.3</t>
  </si>
  <si>
    <t>7.1.4</t>
  </si>
  <si>
    <t>7.1.5</t>
  </si>
  <si>
    <t>5.2</t>
  </si>
  <si>
    <t>5.3</t>
  </si>
  <si>
    <t>7.1.2</t>
  </si>
  <si>
    <t>7.2</t>
  </si>
  <si>
    <t>7.3</t>
  </si>
  <si>
    <t>7.5</t>
  </si>
  <si>
    <t>9.1.1</t>
  </si>
  <si>
    <t>9.1.2</t>
  </si>
  <si>
    <t>9.1.3</t>
  </si>
  <si>
    <t xml:space="preserve">Kime </t>
  </si>
  <si>
    <t>Süreç Lideri:</t>
  </si>
  <si>
    <t xml:space="preserve">Süreç Adı: </t>
  </si>
  <si>
    <t>N/A</t>
  </si>
  <si>
    <t>N/A : Uygulanamaz (Non Applicable)</t>
  </si>
  <si>
    <t>SORU</t>
  </si>
  <si>
    <t>İşlemNo</t>
  </si>
  <si>
    <t>Dış Ticaret Sorumlusu</t>
  </si>
  <si>
    <t>Ana Referansı:T1 P 7.04 Dış Ticaret Yönetimi Prosedürü</t>
  </si>
  <si>
    <t xml:space="preserve">İhracat ve İthalat işlemleri için nakliye ve gümrük tedarikçileri ile iletişim metodları ve sorumluluklar tanımlı mıdır? </t>
  </si>
  <si>
    <t xml:space="preserve">İhracat ve İthalat dokümanları hazırlama &amp; onaylama sorumluları tanımlanmış mıdır? </t>
  </si>
  <si>
    <t xml:space="preserve">İhracat ve ithalat ürünlerinin hazırlanıp yüklenmesinden teslim etme / teslim alma aşamasına kadar yürütülecek işlemler, dokümantasyon gereklilikleri tanımlanmış mıdır? </t>
  </si>
  <si>
    <t>Süreç Bazlı risk analizi içersinde kaplumbağa diyagramında belirtilmiştir.</t>
  </si>
  <si>
    <t xml:space="preserve">D5 Süreç Risk Analizi </t>
  </si>
  <si>
    <t>Süreç Bazlı YGG toplantıları gerçekleştirilmekte ve analiz ve değerlendirmeler gerçekleştirilmektedir.</t>
  </si>
  <si>
    <t>T1 P 7.04 Dış Ticaret Yönetimi Prosedürü</t>
  </si>
  <si>
    <t>Bahadır PAYİR-Funda Özkan</t>
  </si>
  <si>
    <t>T1 P 7.04 Dış Ticaret Yönetimi Prosedürü n de hazırlanacak İthalat ve ihracat evrakları yer almaktadır.</t>
  </si>
  <si>
    <t>T1 P 7.04 Dış Ticaret Yönetimi Prosedürü n de hiletişim yolları belirlenmiştir. Gümrük'e e posta ile iletilmektedir.</t>
  </si>
  <si>
    <t>√</t>
  </si>
  <si>
    <t>Müşteri memnuniyeti değerlendirilmektedir.</t>
  </si>
  <si>
    <t>DENETİM BULGULARI:</t>
  </si>
  <si>
    <t xml:space="preserve">1) Uygunsuzluklar: </t>
  </si>
  <si>
    <t>Uygunsuzluk tespit edilmemiştir.</t>
  </si>
  <si>
    <t>2) Kuvvetli Yönler:</t>
  </si>
  <si>
    <t>3) İyileştirme Önerileri:</t>
  </si>
  <si>
    <t>DENETİM SONUCU:</t>
  </si>
  <si>
    <t>Denetçi İsim Soyisim:</t>
  </si>
  <si>
    <t xml:space="preserve">İmza ve tarih : </t>
  </si>
  <si>
    <t>Yasal yükümlülükler etkin şekilde yerine getirilmektedir. Herhangibir ceza durumu mevcut değildir. Nizami bir şekilde yürütülmektedir.</t>
  </si>
  <si>
    <t>Denetim Tarihi ve Kodu: 14.05.2024</t>
  </si>
  <si>
    <t>Fevzi Ünal-Harun Reşit didin</t>
  </si>
  <si>
    <t>Fevzi Ünal-Harun Reşit Didin</t>
  </si>
  <si>
    <t>Amaçlar ve hedefler belirlenmştir.D4.4 F06 Tüm Süreçler Performans İzleme Tablosu 2024</t>
  </si>
  <si>
    <t>D8.5 P01 Değişikliklerin Yönetimi Prosedürü</t>
  </si>
  <si>
    <t>T1 P01 Dış Ticaret Yönetimi Prosedürü</t>
  </si>
  <si>
    <t>QLTT 07 Düzeltici faaliyetler düzenlenmekte ve tüm  Listede takip edilmektedir.Müşteri Şikayeti - 564327 blade üzerinde çapak+pahsız 10.10.2024 tarihinde kapatılmış olan müşteri şikayeti incelendi.</t>
  </si>
  <si>
    <t>2 ad Proses denetimi gerçekleştirilmiş.D8.6 F02 Proses Denetimi 698637-26.01.2024 &amp; Process Audit _Rain Cap_15.01.2024</t>
  </si>
  <si>
    <t>Günlük QRQC toplantıları ve yıllık olarak YGG de gözden geçirilmektedir.</t>
  </si>
  <si>
    <t>uygun şartlar ve donanımlar sağlanmıştır</t>
  </si>
  <si>
    <t>politikalara web sitesinden ve sahadaki panodan erişim sağlanabilmektedir.</t>
  </si>
  <si>
    <t>D2 F 6.01 Personel Yetkinlik İzleme Tablosu 2024- Canias TRNT 21 Eğitim kayıtları tutulmakta ve personel sicil kayıtlarına eklenmektedir.20.03.2024 tarihinde WMF Yan Sap Kalite Kontrol Eğitimi ne Cennet Ülgül ün katılım sağlandığı görüldü.</t>
  </si>
  <si>
    <t>Süreç Bazlı risk analizi içersinde kaplumbağa diyagramında belirtilmiştir.T1 P01 Dış Ticaret Yönetimi Prosedürü tanımlamalar yapılmaktadır.</t>
  </si>
  <si>
    <t>D4.4 F06 Tüm Süreçler Performans İzleme Tablosu 2024</t>
  </si>
  <si>
    <t>M05 DIŞ TİCARET İŞLEMLERİNİN YÖNETİMİ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</si>
</sst>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0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"/>
      <family val="2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sz val="11"/>
      <name val="Arial"/>
      <family val="2"/>
      <charset val="162"/>
    </font>
    <font>
      <b/>
      <sz val="10"/>
      <color theme="1"/>
      <name val="Arial"/>
      <family val="2"/>
      <charset val="162"/>
    </font>
    <font>
      <sz val="9"/>
      <name val="Arial"/>
      <family val="2"/>
      <charset val="162"/>
    </font>
    <font>
      <sz val="24"/>
      <color theme="1"/>
      <name val="Arial Tur"/>
      <charset val="162"/>
    </font>
    <font>
      <b/>
      <sz val="12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9"/>
      <color theme="1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9">
    <xf numFmtId="0" fontId="0" fillId="0" borderId="0" xfId="0"/>
    <xf numFmtId="0" fontId="2" fillId="0" borderId="0" xfId="0" applyFont="1"/>
    <xf numFmtId="0" fontId="6" fillId="2" borderId="2" xfId="0" applyFont="1" applyFill="1" applyBorder="1" applyAlignment="1">
      <alignment horizontal="left" vertical="center"/>
    </xf>
    <xf numFmtId="49" fontId="7" fillId="3" borderId="4" xfId="0" applyNumberFormat="1" applyFont="1" applyFill="1" applyBorder="1"/>
    <xf numFmtId="0" fontId="4" fillId="3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/>
    <xf numFmtId="0" fontId="2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2" fillId="2" borderId="2" xfId="0" applyFont="1" applyFill="1" applyBorder="1"/>
    <xf numFmtId="0" fontId="10" fillId="4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0" xfId="0" applyFont="1"/>
    <xf numFmtId="49" fontId="6" fillId="2" borderId="2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6" fillId="2" borderId="2" xfId="0" quotePrefix="1" applyFont="1" applyFill="1" applyBorder="1" applyAlignment="1">
      <alignment horizontal="left" vertical="center"/>
    </xf>
    <xf numFmtId="0" fontId="3" fillId="2" borderId="2" xfId="0" quotePrefix="1" applyFont="1" applyFill="1" applyBorder="1" applyAlignment="1">
      <alignment horizontal="left" vertical="center"/>
    </xf>
    <xf numFmtId="49" fontId="6" fillId="2" borderId="1" xfId="0" quotePrefix="1" applyNumberFormat="1" applyFont="1" applyFill="1" applyBorder="1" applyAlignment="1">
      <alignment horizontal="left" vertical="center"/>
    </xf>
    <xf numFmtId="0" fontId="1" fillId="2" borderId="2" xfId="0" applyFont="1" applyFill="1" applyBorder="1"/>
    <xf numFmtId="0" fontId="13" fillId="0" borderId="6" xfId="0" applyFont="1" applyBorder="1" applyAlignment="1">
      <alignment horizontal="center" vertical="center"/>
    </xf>
    <xf numFmtId="0" fontId="4" fillId="4" borderId="6" xfId="0" quotePrefix="1" applyFont="1" applyFill="1" applyBorder="1" applyAlignment="1">
      <alignment horizontal="left" vertical="center" wrapText="1"/>
    </xf>
    <xf numFmtId="0" fontId="7" fillId="4" borderId="6" xfId="0" quotePrefix="1" applyFont="1" applyFill="1" applyBorder="1" applyAlignment="1">
      <alignment horizontal="left" vertical="center" wrapText="1"/>
    </xf>
    <xf numFmtId="0" fontId="14" fillId="5" borderId="0" xfId="0" applyFont="1" applyFill="1"/>
    <xf numFmtId="0" fontId="0" fillId="5" borderId="0" xfId="0" applyFill="1"/>
    <xf numFmtId="0" fontId="15" fillId="5" borderId="0" xfId="0" applyFont="1" applyFill="1"/>
    <xf numFmtId="0" fontId="16" fillId="5" borderId="0" xfId="0" applyFont="1" applyFill="1"/>
    <xf numFmtId="0" fontId="4" fillId="3" borderId="10" xfId="0" applyFont="1" applyFill="1" applyBorder="1" applyAlignment="1">
      <alignment horizontal="left"/>
    </xf>
    <xf numFmtId="0" fontId="0" fillId="3" borderId="12" xfId="0" applyFill="1" applyBorder="1"/>
    <xf numFmtId="0" fontId="0" fillId="3" borderId="9" xfId="0" applyFill="1" applyBorder="1"/>
    <xf numFmtId="0" fontId="4" fillId="5" borderId="0" xfId="0" applyFont="1" applyFill="1" applyAlignment="1">
      <alignment horizontal="left"/>
    </xf>
    <xf numFmtId="0" fontId="0" fillId="3" borderId="8" xfId="0" applyFill="1" applyBorder="1"/>
    <xf numFmtId="0" fontId="0" fillId="3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4" fillId="5" borderId="0" xfId="0" applyFont="1" applyFill="1"/>
    <xf numFmtId="0" fontId="4" fillId="3" borderId="0" xfId="0" applyFont="1" applyFill="1"/>
    <xf numFmtId="0" fontId="0" fillId="3" borderId="0" xfId="0" applyFill="1"/>
    <xf numFmtId="14" fontId="0" fillId="3" borderId="0" xfId="0" applyNumberFormat="1" applyFill="1"/>
    <xf numFmtId="0" fontId="0" fillId="3" borderId="7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7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left"/>
    </xf>
    <xf numFmtId="0" fontId="7" fillId="0" borderId="1" xfId="0" quotePrefix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2" xfId="0" quotePrefix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0" fontId="17" fillId="4" borderId="3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7" fillId="4" borderId="1" xfId="0" quotePrefix="1" applyFont="1" applyFill="1" applyBorder="1" applyAlignment="1">
      <alignment vertical="center" wrapText="1"/>
    </xf>
    <xf numFmtId="0" fontId="17" fillId="4" borderId="3" xfId="0" quotePrefix="1" applyFont="1" applyFill="1" applyBorder="1" applyAlignment="1">
      <alignment vertical="center" wrapText="1"/>
    </xf>
    <xf numFmtId="0" fontId="17" fillId="4" borderId="1" xfId="0" quotePrefix="1" applyFont="1" applyFill="1" applyBorder="1" applyAlignment="1">
      <alignment horizontal="left" vertical="center" wrapText="1"/>
    </xf>
    <xf numFmtId="0" fontId="17" fillId="4" borderId="3" xfId="0" quotePrefix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12" fillId="2" borderId="2" xfId="0" quotePrefix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49" fontId="6" fillId="2" borderId="1" xfId="0" quotePrefix="1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1:O50"/>
  <sheetViews>
    <sheetView showGridLines="0" tabSelected="1" zoomScaleNormal="100" workbookViewId="0">
      <pane ySplit="6" topLeftCell="A7" activePane="bottomLeft" state="frozen"/>
      <selection pane="bottomLeft" activeCell="H41" sqref="H41"/>
    </sheetView>
  </sheetViews>
  <sheetFormatPr defaultColWidth="9.109375" defaultRowHeight="13.8" x14ac:dyDescent="0.25"/>
  <cols>
    <col min="1" max="1" width="3.44140625" style="1" customWidth="1"/>
    <col min="2" max="2" width="4" style="9" customWidth="1"/>
    <col min="3" max="3" width="5.109375" style="1" customWidth="1"/>
    <col min="4" max="4" width="71.33203125" style="1" customWidth="1"/>
    <col min="5" max="5" width="6.109375" style="1" customWidth="1"/>
    <col min="6" max="6" width="5.44140625" style="1" customWidth="1"/>
    <col min="7" max="7" width="5.5546875" style="11" customWidth="1"/>
    <col min="8" max="8" width="15.109375" style="11" customWidth="1"/>
    <col min="9" max="9" width="13.6640625" style="1" customWidth="1"/>
    <col min="10" max="10" width="31.6640625" style="1" customWidth="1"/>
    <col min="11" max="14" width="5.109375" style="1" customWidth="1"/>
    <col min="15" max="15" width="4.33203125" style="1" customWidth="1"/>
    <col min="16" max="16384" width="9.109375" style="1"/>
  </cols>
  <sheetData>
    <row r="1" spans="2:15" ht="6.75" customHeight="1" x14ac:dyDescent="0.25"/>
    <row r="2" spans="2:15" ht="21" x14ac:dyDescent="0.4">
      <c r="C2" s="16" t="s">
        <v>0</v>
      </c>
      <c r="D2" s="16"/>
      <c r="E2" s="17"/>
      <c r="F2" s="17"/>
      <c r="G2" s="66" t="s">
        <v>36</v>
      </c>
      <c r="H2" s="67"/>
      <c r="I2" s="27" t="s">
        <v>78</v>
      </c>
      <c r="J2" s="17"/>
      <c r="K2" s="17"/>
      <c r="L2" s="17"/>
      <c r="M2" s="17"/>
      <c r="N2" s="17"/>
      <c r="O2" s="18"/>
    </row>
    <row r="3" spans="2:15" ht="21" x14ac:dyDescent="0.4">
      <c r="C3" s="29" t="s">
        <v>64</v>
      </c>
      <c r="D3" s="13"/>
      <c r="E3" s="14"/>
      <c r="F3" s="14"/>
      <c r="G3" s="2" t="s">
        <v>12</v>
      </c>
      <c r="H3" s="2"/>
      <c r="I3" s="30" t="s">
        <v>65</v>
      </c>
      <c r="J3" s="19"/>
      <c r="K3" s="14"/>
      <c r="L3" s="14"/>
      <c r="M3" s="14"/>
      <c r="N3" s="14"/>
      <c r="O3" s="15"/>
    </row>
    <row r="4" spans="2:15" ht="40.5" customHeight="1" x14ac:dyDescent="0.4">
      <c r="C4" s="91" t="s">
        <v>42</v>
      </c>
      <c r="D4" s="92"/>
      <c r="E4" s="25"/>
      <c r="F4" s="25"/>
      <c r="G4" s="2" t="s">
        <v>35</v>
      </c>
      <c r="H4" s="2"/>
      <c r="I4" s="28" t="s">
        <v>41</v>
      </c>
      <c r="J4" s="19"/>
      <c r="K4" s="14"/>
      <c r="L4" s="83" t="s">
        <v>50</v>
      </c>
      <c r="M4" s="84"/>
      <c r="N4" s="84"/>
      <c r="O4" s="85"/>
    </row>
    <row r="5" spans="2:15" ht="15" customHeight="1" x14ac:dyDescent="0.25">
      <c r="B5" s="86" t="s">
        <v>11</v>
      </c>
      <c r="C5" s="93" t="s">
        <v>8</v>
      </c>
      <c r="D5" s="68" t="s">
        <v>39</v>
      </c>
      <c r="E5" s="95" t="s">
        <v>40</v>
      </c>
      <c r="F5" s="68" t="s">
        <v>37</v>
      </c>
      <c r="G5" s="81" t="s">
        <v>7</v>
      </c>
      <c r="H5" s="81" t="s">
        <v>34</v>
      </c>
      <c r="I5" s="87" t="s">
        <v>1</v>
      </c>
      <c r="J5" s="88"/>
      <c r="K5" s="78" t="s">
        <v>2</v>
      </c>
      <c r="L5" s="79"/>
      <c r="M5" s="79"/>
      <c r="N5" s="80"/>
      <c r="O5" s="3" t="s">
        <v>9</v>
      </c>
    </row>
    <row r="6" spans="2:15" ht="15" customHeight="1" x14ac:dyDescent="0.25">
      <c r="B6" s="86"/>
      <c r="C6" s="94"/>
      <c r="D6" s="69"/>
      <c r="E6" s="96"/>
      <c r="F6" s="69"/>
      <c r="G6" s="82"/>
      <c r="H6" s="82"/>
      <c r="I6" s="89"/>
      <c r="J6" s="90"/>
      <c r="K6" s="4" t="s">
        <v>3</v>
      </c>
      <c r="L6" s="4" t="s">
        <v>4</v>
      </c>
      <c r="M6" s="4" t="s">
        <v>5</v>
      </c>
      <c r="N6" s="4" t="s">
        <v>6</v>
      </c>
      <c r="O6" s="5" t="s">
        <v>10</v>
      </c>
    </row>
    <row r="7" spans="2:15" ht="52.8" x14ac:dyDescent="0.25">
      <c r="B7" s="10">
        <v>1</v>
      </c>
      <c r="C7" s="6">
        <v>1</v>
      </c>
      <c r="D7" s="7" t="str">
        <f>I2&amp; " süreci;"&amp; "girdi prosesleri, girdileri, çıktıları, çıktı prosesleri, işlemleri, işlemlerin yürütülme şekli, organizasyonu, altyapısı, riskleri, olası değişiklikleri, iyileştirme için performans parametreleri tanımlanmış mıdır? DOKÜMANTE BİLGİ (4.4.1)"</f>
        <v>M05 DIŞ TİCARET İŞLEMLERİNİN YÖNETİMİ süreci;girdi prosesleri, girdileri, çıktıları, çıktı prosesleri, işlemleri, işlemlerin yürütülme şekli, organizasyonu, altyapısı, riskleri, olası değişiklikleri, iyileştirme için performans parametreleri tanımlanmış mıdır? DOKÜMANTE BİLGİ (4.4.1)</v>
      </c>
      <c r="E7" s="7"/>
      <c r="F7" s="23"/>
      <c r="G7" s="12" t="s">
        <v>13</v>
      </c>
      <c r="H7" s="22" t="str">
        <f t="shared" ref="H7:H12" si="0">$I$4</f>
        <v>Dış Ticaret Sorumlusu</v>
      </c>
      <c r="I7" s="72" t="s">
        <v>46</v>
      </c>
      <c r="J7" s="73"/>
      <c r="K7" s="31" t="s">
        <v>53</v>
      </c>
      <c r="L7" s="8"/>
      <c r="M7" s="8"/>
      <c r="N7" s="8"/>
      <c r="O7" s="8"/>
    </row>
    <row r="8" spans="2:15" ht="30" x14ac:dyDescent="0.25">
      <c r="B8" s="9">
        <v>1</v>
      </c>
      <c r="C8" s="6">
        <v>2</v>
      </c>
      <c r="D8" s="7" t="str">
        <f>I2&amp; " süreci;"&amp; " için risk ve fırsatları belirleme faaliyetleri gerçekleştirilmekte midir?"</f>
        <v>M05 DIŞ TİCARET İŞLEMLERİNİN YÖNETİMİ süreci; için risk ve fırsatları belirleme faaliyetleri gerçekleştirilmekte midir?</v>
      </c>
      <c r="E8" s="7"/>
      <c r="F8" s="23"/>
      <c r="G8" s="12" t="s">
        <v>15</v>
      </c>
      <c r="H8" s="22" t="str">
        <f t="shared" si="0"/>
        <v>Dış Ticaret Sorumlusu</v>
      </c>
      <c r="I8" s="72" t="s">
        <v>47</v>
      </c>
      <c r="J8" s="73"/>
      <c r="K8" s="31" t="s">
        <v>53</v>
      </c>
      <c r="L8" s="8"/>
      <c r="M8" s="8"/>
      <c r="N8" s="8"/>
      <c r="O8" s="8"/>
    </row>
    <row r="9" spans="2:15" ht="30" x14ac:dyDescent="0.25">
      <c r="B9" s="9">
        <v>1</v>
      </c>
      <c r="C9" s="6">
        <v>3</v>
      </c>
      <c r="D9" s="7" t="str">
        <f>I2&amp; " süreci;"&amp; " için amaçlar ve bu amaçlara ulaşmak için aksiyonlar belirlenmiş midir? DOKÜMANTE BİLGİ (6.2.1)"</f>
        <v>M05 DIŞ TİCARET İŞLEMLERİNİN YÖNETİMİ süreci; için amaçlar ve bu amaçlara ulaşmak için aksiyonlar belirlenmiş midir? DOKÜMANTE BİLGİ (6.2.1)</v>
      </c>
      <c r="E9" s="7"/>
      <c r="F9" s="23"/>
      <c r="G9" s="12" t="s">
        <v>14</v>
      </c>
      <c r="H9" s="22" t="str">
        <f t="shared" si="0"/>
        <v>Dış Ticaret Sorumlusu</v>
      </c>
      <c r="I9" s="65" t="s">
        <v>67</v>
      </c>
      <c r="J9" s="62"/>
      <c r="K9" s="31" t="s">
        <v>53</v>
      </c>
      <c r="L9" s="8"/>
      <c r="M9" s="8"/>
      <c r="N9" s="8"/>
      <c r="O9" s="8"/>
    </row>
    <row r="10" spans="2:15" ht="30" x14ac:dyDescent="0.25">
      <c r="B10" s="9">
        <v>1</v>
      </c>
      <c r="C10" s="6">
        <v>4</v>
      </c>
      <c r="D10" s="7" t="str">
        <f>I2&amp; " süreci;"&amp; " için sistematik olarak değişiklikler belirleniyor mu?"</f>
        <v>M05 DIŞ TİCARET İŞLEMLERİNİN YÖNETİMİ süreci; için sistematik olarak değişiklikler belirleniyor mu?</v>
      </c>
      <c r="E10" s="7"/>
      <c r="F10" s="23"/>
      <c r="G10" s="12" t="s">
        <v>16</v>
      </c>
      <c r="H10" s="22" t="str">
        <f t="shared" si="0"/>
        <v>Dış Ticaret Sorumlusu</v>
      </c>
      <c r="I10" s="97" t="s">
        <v>68</v>
      </c>
      <c r="J10" s="98"/>
      <c r="K10" s="31" t="s">
        <v>53</v>
      </c>
      <c r="L10" s="8"/>
      <c r="M10" s="8"/>
      <c r="N10" s="8"/>
      <c r="O10" s="8"/>
    </row>
    <row r="11" spans="2:15" ht="30" customHeight="1" x14ac:dyDescent="0.25">
      <c r="B11" s="9">
        <v>1</v>
      </c>
      <c r="C11" s="6">
        <v>5</v>
      </c>
      <c r="D11" s="7" t="str">
        <f>I2&amp; " süreci;"&amp; " etkili bir iletişim planı var mıdır, bu plana göre etkili iletişimler gerçekleştirilmekte midir"</f>
        <v>M05 DIŞ TİCARET İŞLEMLERİNİN YÖNETİMİ süreci; etkili bir iletişim planı var mıdır, bu plana göre etkili iletişimler gerçekleştirilmekte midir</v>
      </c>
      <c r="E11" s="7"/>
      <c r="F11" s="23"/>
      <c r="G11" s="12" t="s">
        <v>21</v>
      </c>
      <c r="H11" s="22" t="str">
        <f t="shared" si="0"/>
        <v>Dış Ticaret Sorumlusu</v>
      </c>
      <c r="I11" s="72" t="s">
        <v>69</v>
      </c>
      <c r="J11" s="73"/>
      <c r="K11" s="31" t="s">
        <v>53</v>
      </c>
      <c r="L11" s="8"/>
      <c r="M11" s="8"/>
      <c r="N11" s="8"/>
      <c r="O11" s="8"/>
    </row>
    <row r="12" spans="2:15" ht="39.6" customHeight="1" x14ac:dyDescent="0.25">
      <c r="B12" s="9">
        <v>1</v>
      </c>
      <c r="C12" s="6">
        <v>6</v>
      </c>
      <c r="D12" s="7" t="str">
        <f>I2&amp; " süreci;"&amp; " iç tetkikleri, iç tetkik posedürüne uygun olarak olarak gerçekleştiriliyor mu, tetkik sonuçları iyileştirme faaliyetleri için girdi olarak kullanılıyor mu? DOKÜMANTE BİLGİ (9.2.2.f)"</f>
        <v>M05 DIŞ TİCARET İŞLEMLERİNİN YÖNETİMİ süreci; iç tetkikleri, iç tetkik posedürüne uygun olarak olarak gerçekleştiriliyor mu, tetkik sonuçları iyileştirme faaliyetleri için girdi olarak kullanılıyor mu? DOKÜMANTE BİLGİ (9.2.2.f)</v>
      </c>
      <c r="E12" s="7"/>
      <c r="F12" s="23"/>
      <c r="G12" s="12" t="s">
        <v>17</v>
      </c>
      <c r="H12" s="22" t="str">
        <f t="shared" si="0"/>
        <v>Dış Ticaret Sorumlusu</v>
      </c>
      <c r="I12" s="74" t="s">
        <v>71</v>
      </c>
      <c r="J12" s="75"/>
      <c r="K12" s="31" t="s">
        <v>53</v>
      </c>
      <c r="L12" s="8"/>
      <c r="M12" s="8"/>
      <c r="N12" s="8"/>
      <c r="O12" s="8"/>
    </row>
    <row r="13" spans="2:15" ht="30" customHeight="1" x14ac:dyDescent="0.25">
      <c r="B13" s="9">
        <v>1</v>
      </c>
      <c r="C13" s="6">
        <v>7</v>
      </c>
      <c r="D13" s="7" t="str">
        <f>I2&amp; " süreci "&amp;  "belirlenen aralıklarda gözden geçiriliyor mu? DOKÜMANTE BİLGİ (9.3.3)"</f>
        <v>M05 DIŞ TİCARET İŞLEMLERİNİN YÖNETİMİ süreci belirlenen aralıklarda gözden geçiriliyor mu? DOKÜMANTE BİLGİ (9.3.3)</v>
      </c>
      <c r="E13" s="7"/>
      <c r="F13" s="23"/>
      <c r="G13" s="12" t="s">
        <v>18</v>
      </c>
      <c r="H13" s="22" t="str">
        <f t="shared" ref="H13:H27" si="1">$I$4</f>
        <v>Dış Ticaret Sorumlusu</v>
      </c>
      <c r="I13" s="76" t="s">
        <v>72</v>
      </c>
      <c r="J13" s="77"/>
      <c r="K13" s="31" t="s">
        <v>53</v>
      </c>
      <c r="L13" s="8"/>
      <c r="M13" s="8"/>
      <c r="N13" s="8"/>
      <c r="O13" s="8"/>
    </row>
    <row r="14" spans="2:15" ht="39.6" customHeight="1" x14ac:dyDescent="0.25">
      <c r="B14" s="9">
        <v>1</v>
      </c>
      <c r="C14" s="6">
        <v>8</v>
      </c>
      <c r="D14" s="7" t="str">
        <f>I2&amp; " süreci "&amp; " ile ilgili uygunsuzlar için etkili düzeltici faaliyetler gerçekleştiriliyor mu? DOKÜMANTE BİLGİ (10.2.2)"</f>
        <v>M05 DIŞ TİCARET İŞLEMLERİNİN YÖNETİMİ süreci  ile ilgili uygunsuzlar için etkili düzeltici faaliyetler gerçekleştiriliyor mu? DOKÜMANTE BİLGİ (10.2.2)</v>
      </c>
      <c r="E14" s="7"/>
      <c r="F14" s="23"/>
      <c r="G14" s="12" t="s">
        <v>19</v>
      </c>
      <c r="H14" s="22" t="str">
        <f t="shared" si="1"/>
        <v>Dış Ticaret Sorumlusu</v>
      </c>
      <c r="I14" s="63" t="s">
        <v>70</v>
      </c>
      <c r="J14" s="64"/>
      <c r="K14" s="31" t="s">
        <v>53</v>
      </c>
      <c r="L14" s="8"/>
      <c r="M14" s="8"/>
      <c r="N14" s="8"/>
      <c r="O14" s="8"/>
    </row>
    <row r="15" spans="2:15" ht="39.6" customHeight="1" x14ac:dyDescent="0.25">
      <c r="B15" s="9">
        <v>1</v>
      </c>
      <c r="C15" s="6">
        <v>9</v>
      </c>
      <c r="D15" s="7" t="str">
        <f>I2&amp; " süreci, "&amp;  "analiz ve değerlendirmenin sonuçlarını, yönetimin gözden geçirmesi çıktılarını iyileştirme faaliyetlerini belirlemek için kullanmakta mıdır?"</f>
        <v>M05 DIŞ TİCARET İŞLEMLERİNİN YÖNETİMİ süreci, analiz ve değerlendirmenin sonuçlarını, yönetimin gözden geçirmesi çıktılarını iyileştirme faaliyetlerini belirlemek için kullanmakta mıdır?</v>
      </c>
      <c r="E15" s="7"/>
      <c r="F15" s="23"/>
      <c r="G15" s="12" t="s">
        <v>20</v>
      </c>
      <c r="H15" s="22" t="str">
        <f t="shared" si="1"/>
        <v>Dış Ticaret Sorumlusu</v>
      </c>
      <c r="I15" s="63" t="s">
        <v>48</v>
      </c>
      <c r="J15" s="64"/>
      <c r="K15" s="31" t="s">
        <v>53</v>
      </c>
      <c r="L15" s="8"/>
      <c r="M15" s="8"/>
      <c r="N15" s="8"/>
      <c r="O15" s="8"/>
    </row>
    <row r="16" spans="2:15" ht="39.6" x14ac:dyDescent="0.25">
      <c r="B16" s="9">
        <v>2</v>
      </c>
      <c r="C16" s="6">
        <v>10</v>
      </c>
      <c r="D16" s="7" t="str">
        <f>I2&amp; " sürecinin; "&amp;  "altyapısı için ihtiyaçları belirlenmiş, sağlanmış mıdır, prosese ait altyapının bakımları gerçekleştirilmekte midir?"</f>
        <v>M05 DIŞ TİCARET İŞLEMLERİNİN YÖNETİMİ sürecinin; altyapısı için ihtiyaçları belirlenmiş, sağlanmış mıdır, prosese ait altyapının bakımları gerçekleştirilmekte midir?</v>
      </c>
      <c r="E16" s="7"/>
      <c r="F16" s="23"/>
      <c r="G16" s="12" t="s">
        <v>22</v>
      </c>
      <c r="H16" s="22" t="str">
        <f t="shared" si="1"/>
        <v>Dış Ticaret Sorumlusu</v>
      </c>
      <c r="I16" s="63"/>
      <c r="J16" s="64"/>
      <c r="K16" s="31" t="s">
        <v>53</v>
      </c>
      <c r="L16" s="8"/>
      <c r="M16" s="8"/>
      <c r="N16" s="8"/>
      <c r="O16" s="8"/>
    </row>
    <row r="17" spans="2:15" ht="30" x14ac:dyDescent="0.25">
      <c r="B17" s="9">
        <v>2</v>
      </c>
      <c r="C17" s="6">
        <v>11</v>
      </c>
      <c r="D17" s="7" t="str">
        <f>I2&amp; " sürecinin; "&amp; "çalışmalarını etkin şekilde yürütmesi için çevre şartları sağlanmış mıdır?"</f>
        <v>M05 DIŞ TİCARET İŞLEMLERİNİN YÖNETİMİ sürecinin; çalışmalarını etkin şekilde yürütmesi için çevre şartları sağlanmış mıdır?</v>
      </c>
      <c r="E17" s="7"/>
      <c r="F17" s="23"/>
      <c r="G17" s="12" t="s">
        <v>23</v>
      </c>
      <c r="H17" s="22" t="str">
        <f t="shared" si="1"/>
        <v>Dış Ticaret Sorumlusu</v>
      </c>
      <c r="I17" s="70" t="s">
        <v>73</v>
      </c>
      <c r="J17" s="71"/>
      <c r="K17" s="31" t="s">
        <v>53</v>
      </c>
      <c r="L17" s="8"/>
      <c r="M17" s="8"/>
      <c r="N17" s="8"/>
      <c r="O17" s="8"/>
    </row>
    <row r="18" spans="2:15" ht="30" x14ac:dyDescent="0.25">
      <c r="B18" s="9">
        <v>2</v>
      </c>
      <c r="C18" s="6">
        <v>12</v>
      </c>
      <c r="D18" s="7" t="str">
        <f>I2&amp; " sürecinin "&amp; "amaca uygun izleme ve ölçme ekipmanlarını kullanıyor, bunları tanımlıyor, izlenebilirliğini sağlıyor mu"</f>
        <v>M05 DIŞ TİCARET İŞLEMLERİNİN YÖNETİMİ sürecinin amaca uygun izleme ve ölçme ekipmanlarını kullanıyor, bunları tanımlıyor, izlenebilirliğini sağlıyor mu</v>
      </c>
      <c r="E18" s="7"/>
      <c r="F18" s="23"/>
      <c r="G18" s="12" t="s">
        <v>24</v>
      </c>
      <c r="H18" s="22" t="str">
        <f t="shared" si="1"/>
        <v>Dış Ticaret Sorumlusu</v>
      </c>
      <c r="I18" s="65"/>
      <c r="J18" s="62"/>
      <c r="K18" s="31" t="s">
        <v>53</v>
      </c>
      <c r="L18" s="8"/>
      <c r="M18" s="8"/>
      <c r="N18" s="8"/>
      <c r="O18" s="8"/>
    </row>
    <row r="19" spans="2:15" ht="52.8" x14ac:dyDescent="0.25">
      <c r="B19" s="9">
        <v>2</v>
      </c>
      <c r="C19" s="6">
        <v>13</v>
      </c>
      <c r="D19" s="7" t="str">
        <f>I2&amp; " sürecinin "&amp; "ölçme ekipmanlarının uluslararası izlenebilir doğrulama ve kalibrasyon faaliyetlerini gerçekleştiriyor, doğrulama ve kalibrasyon sonuçları ile ilgili gerekli tedbirleri alıyor mu? DOKÜMANTE BİLGİ (7.1.5.1)"</f>
        <v>M05 DIŞ TİCARET İŞLEMLERİNİN YÖNETİMİ sürecinin ölçme ekipmanlarının uluslararası izlenebilir doğrulama ve kalibrasyon faaliyetlerini gerçekleştiriyor, doğrulama ve kalibrasyon sonuçları ile ilgili gerekli tedbirleri alıyor mu? DOKÜMANTE BİLGİ (7.1.5.1)</v>
      </c>
      <c r="E19" s="7"/>
      <c r="F19" s="23"/>
      <c r="G19" s="12" t="s">
        <v>24</v>
      </c>
      <c r="H19" s="22" t="str">
        <f t="shared" si="1"/>
        <v>Dış Ticaret Sorumlusu</v>
      </c>
      <c r="I19" s="65"/>
      <c r="J19" s="62"/>
      <c r="K19" s="31" t="s">
        <v>53</v>
      </c>
      <c r="L19" s="8"/>
      <c r="M19" s="8"/>
      <c r="N19" s="8"/>
      <c r="O19" s="8"/>
    </row>
    <row r="20" spans="2:15" ht="30" customHeight="1" x14ac:dyDescent="0.25">
      <c r="B20" s="9">
        <v>3</v>
      </c>
      <c r="C20" s="6">
        <v>14</v>
      </c>
      <c r="D20" s="21" t="str">
        <f>I2&amp; " sürecinin "&amp; "organizasyonu kalite politikasını ulaşıyormu ve özünü ifade edebiliyor mu? DOKÜMANTE BİLGİ (5.2.2.a)"</f>
        <v>M05 DIŞ TİCARET İŞLEMLERİNİN YÖNETİMİ sürecinin organizasyonu kalite politikasını ulaşıyormu ve özünü ifade edebiliyor mu? DOKÜMANTE BİLGİ (5.2.2.a)</v>
      </c>
      <c r="E20" s="21"/>
      <c r="F20" s="23"/>
      <c r="G20" s="12" t="s">
        <v>25</v>
      </c>
      <c r="H20" s="22" t="str">
        <f t="shared" si="1"/>
        <v>Dış Ticaret Sorumlusu</v>
      </c>
      <c r="I20" s="70" t="s">
        <v>74</v>
      </c>
      <c r="J20" s="71"/>
      <c r="K20" s="31" t="s">
        <v>53</v>
      </c>
      <c r="L20" s="8"/>
      <c r="M20" s="8"/>
      <c r="N20" s="8"/>
      <c r="O20" s="8"/>
    </row>
    <row r="21" spans="2:15" ht="39.6" customHeight="1" x14ac:dyDescent="0.25">
      <c r="B21" s="9">
        <v>3</v>
      </c>
      <c r="C21" s="6">
        <v>15</v>
      </c>
      <c r="D21" s="21" t="str">
        <f>I2&amp; " sürecinin "&amp; "organizasyonuna ait roller, bu rollere ait görevler yazılı olarak belirlenmiş mi, rol sahipleri bu yazılı görev tanımlarına ulaşıyor ve gereklerini yapıyorlar mı?"</f>
        <v>M05 DIŞ TİCARET İŞLEMLERİNİN YÖNETİMİ sürecinin organizasyonuna ait roller, bu rollere ait görevler yazılı olarak belirlenmiş mi, rol sahipleri bu yazılı görev tanımlarına ulaşıyor ve gereklerini yapıyorlar mı?</v>
      </c>
      <c r="E21" s="21"/>
      <c r="F21" s="23"/>
      <c r="G21" s="12" t="s">
        <v>26</v>
      </c>
      <c r="H21" s="22" t="str">
        <f t="shared" si="1"/>
        <v>Dış Ticaret Sorumlusu</v>
      </c>
      <c r="I21" s="70" t="s">
        <v>76</v>
      </c>
      <c r="J21" s="71"/>
      <c r="K21" s="31" t="s">
        <v>53</v>
      </c>
      <c r="L21" s="8"/>
      <c r="M21" s="8"/>
      <c r="N21" s="8"/>
      <c r="O21" s="8"/>
    </row>
    <row r="22" spans="2:15" ht="53.25" customHeight="1" x14ac:dyDescent="0.25">
      <c r="B22" s="9">
        <v>3</v>
      </c>
      <c r="C22" s="6">
        <v>16</v>
      </c>
      <c r="D22" s="21" t="str">
        <f>I2&amp; " sürecinin "&amp; "organizasyonu için yeterlilik tanımlarına uygun personel tayin ve tedarik edilmiş midir?"</f>
        <v>M05 DIŞ TİCARET İŞLEMLERİNİN YÖNETİMİ sürecinin organizasyonu için yeterlilik tanımlarına uygun personel tayin ve tedarik edilmiş midir?</v>
      </c>
      <c r="E22" s="21"/>
      <c r="F22" s="23"/>
      <c r="G22" s="12" t="s">
        <v>27</v>
      </c>
      <c r="H22" s="22" t="str">
        <f t="shared" si="1"/>
        <v>Dış Ticaret Sorumlusu</v>
      </c>
      <c r="I22" s="70" t="s">
        <v>76</v>
      </c>
      <c r="J22" s="71"/>
      <c r="K22" s="31" t="s">
        <v>53</v>
      </c>
      <c r="L22" s="8"/>
      <c r="M22" s="8"/>
      <c r="N22" s="8"/>
      <c r="O22" s="8"/>
    </row>
    <row r="23" spans="2:15" ht="52.8" customHeight="1" x14ac:dyDescent="0.25">
      <c r="B23" s="9">
        <v>3</v>
      </c>
      <c r="C23" s="6">
        <v>17</v>
      </c>
      <c r="D23" s="21" t="str">
        <f>I2&amp; " sürecinin "&amp; "organizasyonunda yer alan roller için yeterlilikler belirlenmiş ve bu yeterliliklerin sağlanması için eğitim vb. faaliyetler gerçekleştiriliyor ve etkinliği değerlendiriliyor mu? DOKÜMANTE BİLGİ (7.2.d)"</f>
        <v>M05 DIŞ TİCARET İŞLEMLERİNİN YÖNETİMİ sürecinin organizasyonunda yer alan roller için yeterlilikler belirlenmiş ve bu yeterliliklerin sağlanması için eğitim vb. faaliyetler gerçekleştiriliyor ve etkinliği değerlendiriliyor mu? DOKÜMANTE BİLGİ (7.2.d)</v>
      </c>
      <c r="E23" s="21"/>
      <c r="F23" s="23"/>
      <c r="G23" s="12" t="s">
        <v>28</v>
      </c>
      <c r="H23" s="22" t="str">
        <f t="shared" si="1"/>
        <v>Dış Ticaret Sorumlusu</v>
      </c>
      <c r="I23" s="70" t="s">
        <v>75</v>
      </c>
      <c r="J23" s="71"/>
      <c r="K23" s="31" t="s">
        <v>53</v>
      </c>
      <c r="L23" s="8"/>
      <c r="M23" s="8"/>
      <c r="N23" s="8"/>
      <c r="O23" s="8"/>
    </row>
    <row r="24" spans="2:15" ht="39.6" x14ac:dyDescent="0.25">
      <c r="B24" s="9">
        <v>3</v>
      </c>
      <c r="C24" s="6">
        <v>18</v>
      </c>
      <c r="D24" s="21" t="str">
        <f>I2&amp; " sürecinin "&amp; "organizasyonunda görev alan personelin, amaçlara ulaşmak veya amaçlardan sapma konularında farkındalıkları yeterli midir?"</f>
        <v>M05 DIŞ TİCARET İŞLEMLERİNİN YÖNETİMİ sürecinin organizasyonunda görev alan personelin, amaçlara ulaşmak veya amaçlardan sapma konularında farkındalıkları yeterli midir?</v>
      </c>
      <c r="E24" s="21"/>
      <c r="F24" s="23"/>
      <c r="G24" s="12" t="s">
        <v>29</v>
      </c>
      <c r="H24" s="22" t="str">
        <f t="shared" si="1"/>
        <v>Dış Ticaret Sorumlusu</v>
      </c>
      <c r="I24" s="70" t="s">
        <v>75</v>
      </c>
      <c r="J24" s="71"/>
      <c r="K24" s="31" t="s">
        <v>53</v>
      </c>
      <c r="L24" s="8"/>
      <c r="M24" s="8"/>
      <c r="N24" s="8"/>
      <c r="O24" s="8"/>
    </row>
    <row r="25" spans="2:15" ht="39.6" x14ac:dyDescent="0.25">
      <c r="B25" s="20">
        <v>4</v>
      </c>
      <c r="C25" s="6">
        <v>19</v>
      </c>
      <c r="D25" s="32" t="s">
        <v>45</v>
      </c>
      <c r="E25" s="26"/>
      <c r="F25" s="23"/>
      <c r="G25" s="12"/>
      <c r="H25" s="22" t="str">
        <f t="shared" si="1"/>
        <v>Dış Ticaret Sorumlusu</v>
      </c>
      <c r="I25" s="61" t="s">
        <v>51</v>
      </c>
      <c r="J25" s="62"/>
      <c r="K25" s="31" t="s">
        <v>53</v>
      </c>
      <c r="L25" s="8"/>
      <c r="M25" s="8"/>
      <c r="N25" s="8"/>
      <c r="O25" s="8"/>
    </row>
    <row r="26" spans="2:15" ht="41.25" customHeight="1" x14ac:dyDescent="0.25">
      <c r="B26" s="20">
        <v>4</v>
      </c>
      <c r="C26" s="6">
        <v>20</v>
      </c>
      <c r="D26" s="33" t="s">
        <v>43</v>
      </c>
      <c r="E26" s="26"/>
      <c r="F26" s="23"/>
      <c r="G26" s="12"/>
      <c r="H26" s="22" t="str">
        <f t="shared" si="1"/>
        <v>Dış Ticaret Sorumlusu</v>
      </c>
      <c r="I26" s="61" t="s">
        <v>52</v>
      </c>
      <c r="J26" s="62"/>
      <c r="K26" s="31" t="s">
        <v>53</v>
      </c>
      <c r="L26" s="8"/>
      <c r="M26" s="8"/>
      <c r="N26" s="8"/>
      <c r="O26" s="8"/>
    </row>
    <row r="27" spans="2:15" ht="30" x14ac:dyDescent="0.25">
      <c r="B27" s="20">
        <v>4</v>
      </c>
      <c r="C27" s="6">
        <v>21</v>
      </c>
      <c r="D27" s="33" t="s">
        <v>44</v>
      </c>
      <c r="E27" s="26"/>
      <c r="F27" s="23"/>
      <c r="G27" s="12"/>
      <c r="H27" s="22" t="str">
        <f t="shared" si="1"/>
        <v>Dış Ticaret Sorumlusu</v>
      </c>
      <c r="I27" s="61" t="s">
        <v>49</v>
      </c>
      <c r="J27" s="62"/>
      <c r="K27" s="31" t="s">
        <v>53</v>
      </c>
      <c r="L27" s="8"/>
      <c r="M27" s="8"/>
      <c r="N27" s="8"/>
      <c r="O27" s="8"/>
    </row>
    <row r="28" spans="2:15" ht="30" x14ac:dyDescent="0.25">
      <c r="B28" s="9">
        <v>5</v>
      </c>
      <c r="C28" s="6">
        <v>22</v>
      </c>
      <c r="D28" s="7" t="str">
        <f>I2&amp; " sürecinin "&amp; "sürecinin tüm işlemleri için oluşturulmuş ve kontrol edilen prosedü(ler) mevcut mudur?"</f>
        <v>M05 DIŞ TİCARET İŞLEMLERİNİN YÖNETİMİ sürecinin sürecinin tüm işlemleri için oluşturulmuş ve kontrol edilen prosedü(ler) mevcut mudur?</v>
      </c>
      <c r="E28" s="7"/>
      <c r="F28" s="23"/>
      <c r="G28" s="12" t="s">
        <v>30</v>
      </c>
      <c r="H28" s="22" t="str">
        <f t="shared" ref="H28:H31" si="2">$I$4</f>
        <v>Dış Ticaret Sorumlusu</v>
      </c>
      <c r="I28" s="65" t="s">
        <v>49</v>
      </c>
      <c r="J28" s="62"/>
      <c r="K28" s="31" t="s">
        <v>53</v>
      </c>
      <c r="L28" s="8"/>
      <c r="M28" s="8"/>
      <c r="N28" s="8"/>
      <c r="O28" s="8"/>
    </row>
    <row r="29" spans="2:15" ht="30" customHeight="1" x14ac:dyDescent="0.25">
      <c r="B29" s="9">
        <v>6</v>
      </c>
      <c r="C29" s="6">
        <v>23</v>
      </c>
      <c r="D29" s="7" t="str">
        <f>I2&amp; " sürecinin "&amp; "performansı ve etkinliği değerlendirilmekte midir? DOKÜMANTE BİLGİ (9.1.1)"</f>
        <v>M05 DIŞ TİCARET İŞLEMLERİNİN YÖNETİMİ sürecinin performansı ve etkinliği değerlendirilmekte midir? DOKÜMANTE BİLGİ (9.1.1)</v>
      </c>
      <c r="E29" s="7"/>
      <c r="F29" s="23"/>
      <c r="G29" s="12" t="s">
        <v>31</v>
      </c>
      <c r="H29" s="22" t="str">
        <f t="shared" si="2"/>
        <v>Dış Ticaret Sorumlusu</v>
      </c>
      <c r="I29" s="63" t="s">
        <v>77</v>
      </c>
      <c r="J29" s="64"/>
      <c r="K29" s="31" t="s">
        <v>53</v>
      </c>
      <c r="L29" s="8"/>
      <c r="M29" s="8"/>
      <c r="N29" s="8"/>
      <c r="O29" s="8"/>
    </row>
    <row r="30" spans="2:15" ht="30" x14ac:dyDescent="0.25">
      <c r="B30" s="9">
        <v>6</v>
      </c>
      <c r="C30" s="6">
        <v>24</v>
      </c>
      <c r="D30" s="7" t="str">
        <f>I2&amp; " sürecinin "&amp; "sürecinin müşterlerinin memnuniyeti ölçülüyor mu?"</f>
        <v>M05 DIŞ TİCARET İŞLEMLERİNİN YÖNETİMİ sürecinin sürecinin müşterlerinin memnuniyeti ölçülüyor mu?</v>
      </c>
      <c r="E30" s="7"/>
      <c r="F30" s="23"/>
      <c r="G30" s="12" t="s">
        <v>32</v>
      </c>
      <c r="H30" s="22" t="str">
        <f t="shared" si="2"/>
        <v>Dış Ticaret Sorumlusu</v>
      </c>
      <c r="I30" s="65" t="s">
        <v>54</v>
      </c>
      <c r="J30" s="62"/>
      <c r="K30" s="31" t="s">
        <v>53</v>
      </c>
      <c r="L30" s="8"/>
      <c r="M30" s="8"/>
      <c r="N30" s="8"/>
      <c r="O30" s="8"/>
    </row>
    <row r="31" spans="2:15" ht="30" x14ac:dyDescent="0.25">
      <c r="B31" s="9">
        <v>6</v>
      </c>
      <c r="C31" s="6">
        <v>25</v>
      </c>
      <c r="D31" s="7" t="str">
        <f>I2&amp; " sürecinin "&amp; "izlenmesi ve ölçülmesine ait sonuçlar, istatitiksel yöntemler ile analiz ediliyor ve değerlendiriliyor mu?"</f>
        <v>M05 DIŞ TİCARET İŞLEMLERİNİN YÖNETİMİ sürecinin izlenmesi ve ölçülmesine ait sonuçlar, istatitiksel yöntemler ile analiz ediliyor ve değerlendiriliyor mu?</v>
      </c>
      <c r="E31" s="7"/>
      <c r="F31" s="23"/>
      <c r="G31" s="12" t="s">
        <v>33</v>
      </c>
      <c r="H31" s="22" t="str">
        <f t="shared" si="2"/>
        <v>Dış Ticaret Sorumlusu</v>
      </c>
      <c r="I31" s="63" t="s">
        <v>77</v>
      </c>
      <c r="J31" s="64"/>
      <c r="K31" s="31" t="s">
        <v>53</v>
      </c>
      <c r="L31" s="8"/>
      <c r="M31" s="8"/>
      <c r="N31" s="8"/>
      <c r="O31" s="8"/>
    </row>
    <row r="32" spans="2:15" x14ac:dyDescent="0.25">
      <c r="C32" s="24" t="s">
        <v>38</v>
      </c>
      <c r="K32" s="1">
        <v>25</v>
      </c>
    </row>
    <row r="34" spans="3:9" ht="15.6" x14ac:dyDescent="0.3">
      <c r="C34" s="34" t="s">
        <v>55</v>
      </c>
      <c r="D34" s="35"/>
      <c r="E34" s="35"/>
      <c r="F34" s="36"/>
      <c r="G34" s="35"/>
      <c r="H34" s="35"/>
      <c r="I34" s="35"/>
    </row>
    <row r="35" spans="3:9" ht="14.4" x14ac:dyDescent="0.3">
      <c r="C35" s="37" t="s">
        <v>56</v>
      </c>
      <c r="D35" s="35"/>
      <c r="E35" s="35"/>
      <c r="F35" s="36"/>
      <c r="G35" s="35"/>
      <c r="H35" s="35"/>
      <c r="I35" s="35"/>
    </row>
    <row r="36" spans="3:9" ht="14.4" x14ac:dyDescent="0.3">
      <c r="C36" s="49" t="s">
        <v>57</v>
      </c>
      <c r="D36" s="50"/>
      <c r="E36" s="51"/>
      <c r="F36" s="36"/>
      <c r="G36" s="35"/>
      <c r="H36" s="35"/>
      <c r="I36" s="35"/>
    </row>
    <row r="37" spans="3:9" ht="14.4" x14ac:dyDescent="0.3">
      <c r="C37" s="38"/>
      <c r="D37" s="39"/>
      <c r="E37" s="40"/>
      <c r="F37" s="36"/>
      <c r="G37" s="35"/>
      <c r="H37" s="35"/>
      <c r="I37" s="35"/>
    </row>
    <row r="38" spans="3:9" ht="14.4" x14ac:dyDescent="0.3">
      <c r="C38" s="41"/>
      <c r="D38" s="35"/>
      <c r="E38" s="35"/>
      <c r="F38" s="36"/>
      <c r="G38" s="35"/>
      <c r="H38" s="35"/>
      <c r="I38" s="35"/>
    </row>
    <row r="39" spans="3:9" ht="14.4" x14ac:dyDescent="0.3">
      <c r="C39" s="37" t="s">
        <v>58</v>
      </c>
      <c r="D39" s="35"/>
      <c r="E39" s="35"/>
      <c r="F39" s="36"/>
      <c r="G39" s="35"/>
      <c r="H39" s="35"/>
      <c r="I39" s="35"/>
    </row>
    <row r="40" spans="3:9" ht="14.4" x14ac:dyDescent="0.3">
      <c r="C40" s="52" t="s">
        <v>63</v>
      </c>
      <c r="D40" s="53"/>
      <c r="E40" s="54"/>
      <c r="F40" s="36"/>
      <c r="G40" s="35"/>
      <c r="H40" s="35"/>
      <c r="I40" s="35"/>
    </row>
    <row r="41" spans="3:9" ht="14.4" x14ac:dyDescent="0.3">
      <c r="C41" s="55"/>
      <c r="D41" s="56"/>
      <c r="E41" s="57"/>
      <c r="F41" s="36"/>
      <c r="G41" s="35"/>
      <c r="H41" s="35"/>
      <c r="I41" s="35"/>
    </row>
    <row r="42" spans="3:9" ht="14.4" x14ac:dyDescent="0.3">
      <c r="C42" s="41"/>
      <c r="D42" s="35"/>
      <c r="E42" s="35"/>
      <c r="F42" s="36"/>
      <c r="G42" s="35"/>
      <c r="H42" s="35"/>
      <c r="I42" s="35"/>
    </row>
    <row r="43" spans="3:9" ht="14.4" x14ac:dyDescent="0.3">
      <c r="C43" s="37" t="s">
        <v>59</v>
      </c>
      <c r="D43" s="35"/>
      <c r="E43" s="35"/>
      <c r="F43" s="36"/>
      <c r="G43" s="35"/>
      <c r="H43" s="35"/>
      <c r="I43" s="35"/>
    </row>
    <row r="44" spans="3:9" ht="14.4" x14ac:dyDescent="0.3">
      <c r="C44" s="58"/>
      <c r="D44" s="59"/>
      <c r="E44" s="42"/>
      <c r="F44" s="36"/>
      <c r="G44" s="35"/>
      <c r="H44" s="35"/>
      <c r="I44" s="35"/>
    </row>
    <row r="45" spans="3:9" ht="14.4" x14ac:dyDescent="0.3">
      <c r="C45" s="43"/>
      <c r="D45" s="39"/>
      <c r="E45" s="40"/>
      <c r="F45" s="36"/>
      <c r="G45" s="35"/>
      <c r="H45" s="35"/>
      <c r="I45" s="35"/>
    </row>
    <row r="46" spans="3:9" ht="15.6" x14ac:dyDescent="0.3">
      <c r="C46" s="34" t="s">
        <v>60</v>
      </c>
      <c r="D46" s="35"/>
      <c r="E46" s="35"/>
      <c r="F46" s="36"/>
      <c r="G46" s="35"/>
      <c r="H46" s="35"/>
      <c r="I46" s="35"/>
    </row>
    <row r="47" spans="3:9" ht="14.4" x14ac:dyDescent="0.3">
      <c r="C47" s="60">
        <v>100</v>
      </c>
      <c r="D47" s="60"/>
      <c r="E47" s="60"/>
      <c r="F47" s="36"/>
      <c r="G47" s="35"/>
      <c r="H47" s="35"/>
      <c r="I47" s="35"/>
    </row>
    <row r="48" spans="3:9" ht="14.4" x14ac:dyDescent="0.3">
      <c r="C48" s="44"/>
      <c r="D48" s="35"/>
      <c r="E48" s="35"/>
      <c r="F48" s="36"/>
      <c r="G48" s="45"/>
      <c r="H48" s="35"/>
      <c r="I48" s="35"/>
    </row>
    <row r="49" spans="3:9" ht="14.4" x14ac:dyDescent="0.3">
      <c r="C49" s="44"/>
      <c r="D49" s="35"/>
      <c r="E49" s="35"/>
      <c r="F49" s="36"/>
      <c r="G49" s="46" t="s">
        <v>61</v>
      </c>
      <c r="H49" s="47"/>
      <c r="I49" s="47" t="s">
        <v>66</v>
      </c>
    </row>
    <row r="50" spans="3:9" ht="14.4" x14ac:dyDescent="0.3">
      <c r="G50" s="46" t="s">
        <v>62</v>
      </c>
      <c r="H50" s="47"/>
      <c r="I50" s="48">
        <v>45426</v>
      </c>
    </row>
  </sheetData>
  <mergeCells count="41">
    <mergeCell ref="I19:J19"/>
    <mergeCell ref="K5:N5"/>
    <mergeCell ref="G5:G6"/>
    <mergeCell ref="L4:O4"/>
    <mergeCell ref="B5:B6"/>
    <mergeCell ref="I5:J6"/>
    <mergeCell ref="C4:D4"/>
    <mergeCell ref="I15:J15"/>
    <mergeCell ref="I16:J16"/>
    <mergeCell ref="I9:J9"/>
    <mergeCell ref="H5:H6"/>
    <mergeCell ref="C5:C6"/>
    <mergeCell ref="E5:E6"/>
    <mergeCell ref="I7:J7"/>
    <mergeCell ref="I8:J8"/>
    <mergeCell ref="I10:J10"/>
    <mergeCell ref="G2:H2"/>
    <mergeCell ref="F5:F6"/>
    <mergeCell ref="I30:J30"/>
    <mergeCell ref="D5:D6"/>
    <mergeCell ref="I18:J18"/>
    <mergeCell ref="I20:J20"/>
    <mergeCell ref="I21:J21"/>
    <mergeCell ref="I22:J22"/>
    <mergeCell ref="I23:J23"/>
    <mergeCell ref="I24:J24"/>
    <mergeCell ref="I17:J17"/>
    <mergeCell ref="I11:J11"/>
    <mergeCell ref="I12:J12"/>
    <mergeCell ref="I13:J13"/>
    <mergeCell ref="I14:J14"/>
    <mergeCell ref="I25:J25"/>
    <mergeCell ref="C36:E36"/>
    <mergeCell ref="C40:E41"/>
    <mergeCell ref="C44:D44"/>
    <mergeCell ref="C47:E47"/>
    <mergeCell ref="I26:J26"/>
    <mergeCell ref="I27:J27"/>
    <mergeCell ref="I31:J31"/>
    <mergeCell ref="I28:J28"/>
    <mergeCell ref="I29:J29"/>
  </mergeCells>
  <conditionalFormatting sqref="F7:F31">
    <cfRule type="expression" dxfId="0" priority="2">
      <formula>F7="N/A"</formula>
    </cfRule>
  </conditionalFormatting>
  <dataValidations count="1">
    <dataValidation type="list" allowBlank="1" showInputMessage="1" showErrorMessage="1" sqref="F7:F31" xr:uid="{00000000-0002-0000-0000-000000000000}">
      <formula1>"N/A"</formula1>
    </dataValidation>
  </dataValidations>
  <printOptions horizontalCentered="1"/>
  <pageMargins left="0.15748031496062992" right="0.15748031496062992" top="0.31496062992125984" bottom="0.35433070866141736" header="0.23622047244094491" footer="0.15748031496062992"/>
  <pageSetup paperSize="9" scale="81" fitToHeight="0" orientation="landscape" r:id="rId1"/>
  <headerFooter>
    <oddFooter>&amp;R&amp;"Arial,Normal"Y03 F20(1)_07.04.2025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SORU LİSTESİ</vt:lpstr>
      <vt:lpstr>'SORU LİSTESİ'!Yazdırma_Alanı</vt:lpstr>
      <vt:lpstr>'SORU LİSTESİ'!Yazdırma_Başlıkları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2025-04-25T14:57:27Z</dcterms:modified>
</cp:coreProperties>
</file>