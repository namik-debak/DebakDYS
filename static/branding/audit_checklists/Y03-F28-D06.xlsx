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filterPrivacy="1" defaultThemeVersion="124226"/>
  <xr:revisionPtr revIDLastSave="0" documentId="13_ncr:1_{FC95807F-CD15-4A9A-8EDE-F4D6114E9D86}" xr6:coauthVersionLast="47" xr6:coauthVersionMax="47" xr10:uidLastSave="{00000000-0000-0000-0000-000000000000}"/>
  <bookViews>
    <workbookView xWindow="-108" yWindow="-108" windowWidth="23256" windowHeight="12456" tabRatio="541" xr2:uid="{00000000-000D-0000-FFFF-FFFF00000000}"/>
  </bookViews>
  <sheets>
    <sheet name="SORU LİSTESİ" sheetId="2" r:id="rId1"/>
  </sheets>
  <definedNames>
    <definedName name="_xlnm.Print_Area" localSheetId="0">'SORU LİSTESİ'!$C$2:$O$68</definedName>
    <definedName name="_xlnm.Print_Titles" localSheetId="0">'SORU LİSTESİ'!$2:$6</definedName>
  </definedNames>
  <calcPr calcId="191029"/>
</workbook>
</file>

<file path=xl/calcChain.xml><?xml version="1.0" encoding="utf-8"?>
<calcChain xmlns="http://schemas.openxmlformats.org/spreadsheetml/2006/main">
  <c r="D67" i="2" l="1"/>
  <c r="D66" i="2"/>
  <c r="D65" i="2"/>
  <c r="H67" i="2"/>
  <c r="H66" i="2"/>
  <c r="H65" i="2"/>
  <c r="H64" i="2"/>
  <c r="H24" i="2"/>
  <c r="D64" i="2"/>
  <c r="D24" i="2"/>
  <c r="D23" i="2"/>
  <c r="D22" i="2"/>
  <c r="D21" i="2"/>
  <c r="D20" i="2"/>
  <c r="H19" i="2"/>
  <c r="D19" i="2"/>
  <c r="D18" i="2"/>
  <c r="D17" i="2"/>
  <c r="D16" i="2"/>
  <c r="H23" i="2"/>
  <c r="H22" i="2"/>
  <c r="H21" i="2"/>
  <c r="H20" i="2"/>
  <c r="H18" i="2"/>
  <c r="H17" i="2"/>
  <c r="H15" i="2"/>
  <c r="H16" i="2"/>
  <c r="D15" i="2"/>
  <c r="H13" i="2"/>
  <c r="H14" i="2"/>
  <c r="D13" i="2"/>
  <c r="D14" i="2"/>
  <c r="H12" i="2"/>
  <c r="D12" i="2"/>
  <c r="H11" i="2"/>
  <c r="H10" i="2"/>
  <c r="D11" i="2"/>
  <c r="D10" i="2"/>
  <c r="H9" i="2"/>
  <c r="D9" i="2"/>
  <c r="H8" i="2"/>
  <c r="H7" i="2"/>
  <c r="D8" i="2"/>
  <c r="D7" i="2"/>
</calcChain>
</file>

<file path=xl/sharedStrings.xml><?xml version="1.0" encoding="utf-8"?>
<sst xmlns="http://schemas.openxmlformats.org/spreadsheetml/2006/main" count="297" uniqueCount="183">
  <si>
    <t>DENETİM  RAPORU</t>
  </si>
  <si>
    <t>GÖZLEM / DELİL</t>
  </si>
  <si>
    <t>BULGU</t>
  </si>
  <si>
    <t>Evet</t>
  </si>
  <si>
    <t>Majör</t>
  </si>
  <si>
    <t>Minör</t>
  </si>
  <si>
    <t>İyil.</t>
  </si>
  <si>
    <t>Şart No</t>
  </si>
  <si>
    <t>NO</t>
  </si>
  <si>
    <t>DF</t>
  </si>
  <si>
    <t>No</t>
  </si>
  <si>
    <t>TİP</t>
  </si>
  <si>
    <t>Denetçi(ler):</t>
  </si>
  <si>
    <t>4.4</t>
  </si>
  <si>
    <t>6.2</t>
  </si>
  <si>
    <t>6.1</t>
  </si>
  <si>
    <t>6.3</t>
  </si>
  <si>
    <t>9.2</t>
  </si>
  <si>
    <t>9.3</t>
  </si>
  <si>
    <t>10.2</t>
  </si>
  <si>
    <t>10.3</t>
  </si>
  <si>
    <t>7.4</t>
  </si>
  <si>
    <t>7.1.3</t>
  </si>
  <si>
    <t>7.1.4</t>
  </si>
  <si>
    <t>7.1.5</t>
  </si>
  <si>
    <t>5.2</t>
  </si>
  <si>
    <t>5.3</t>
  </si>
  <si>
    <t>7.1.2</t>
  </si>
  <si>
    <t>7.2</t>
  </si>
  <si>
    <t>7.3</t>
  </si>
  <si>
    <t>7.5</t>
  </si>
  <si>
    <t>9.1.1</t>
  </si>
  <si>
    <t>9.1.2</t>
  </si>
  <si>
    <t>9.1.3</t>
  </si>
  <si>
    <t xml:space="preserve">Kime </t>
  </si>
  <si>
    <t>Süreç Lideri:</t>
  </si>
  <si>
    <t xml:space="preserve">Süreç Adı: </t>
  </si>
  <si>
    <t>N/A</t>
  </si>
  <si>
    <t>N/A : Uygulanamaz (Non Applicable)</t>
  </si>
  <si>
    <t>SORU</t>
  </si>
  <si>
    <t>İşlemNo</t>
  </si>
  <si>
    <t>Kalite Sistem Yöneticisi</t>
  </si>
  <si>
    <t>Girdi ürünlerin kontrollerinde kabul kriterleri tanımlanmış mı, girdi kabulleri bu kritelere göre giriş yapmakta mıdır, doğrulama kayıtları mevcut mudur?</t>
  </si>
  <si>
    <t xml:space="preserve">Kalite Sistem Yön.
Lab. Sor. -Kalite Kontrol Sor., Depo Sor.
</t>
  </si>
  <si>
    <t>8.6.4</t>
  </si>
  <si>
    <t>Depo Sorumlusu</t>
  </si>
  <si>
    <t xml:space="preserve">Girdi ürünler için kabul sahası belirlenmiş midir? </t>
  </si>
  <si>
    <t>Girdi ürünlerin kabul ve ret kararlarında planlar tanımlanmış mıdır?Uygun olmayan ürün faaliyetleri tanımlanmış, etkin şekilde yürütülmekte midir?</t>
  </si>
  <si>
    <t>8.7</t>
  </si>
  <si>
    <t xml:space="preserve">Üretim Kalite Kontrol Sor. ,KAlite Sistem Yön
</t>
  </si>
  <si>
    <t>Uygunluğu kanıtlanmış girdilerin kabulu için tanımlamalar yapılmış ve etkin olarak gerçekleştirilmekte midir?</t>
  </si>
  <si>
    <t>Girdi kabulleri sonrası reçeteleri tanımlanmış ve sonraki sürece iletilmesi için izlenebilirlikler sağlanmakta mıdır?</t>
  </si>
  <si>
    <t xml:space="preserve">Depo Sorumlusu,Üretim  
Operatörleri
</t>
  </si>
  <si>
    <t xml:space="preserve">Kalite Sis. Yön.
Üretim Kalite Kontrol Sor. Lab. sor., Üretim Op.
</t>
  </si>
  <si>
    <t>Üretim operasyonlarında müşteri tarafından bildirilen özel karakteristiklerin kontrol methodları,sıklıkları ve yetkilileri sistem dokümanlarına aktarılmış mıdır? Yeterlilikler yerine getirilmekte midir? Kayıtları mevcut mudur?</t>
  </si>
  <si>
    <t>8.6.1</t>
  </si>
  <si>
    <t>Final Kontrol operasyonlarında müşteri tarafından bildirilen özel karakteristiklerin kontrol methodları,sıklıkları ve yetkilileri sistem dokümanlarına aktarılmış mıdır? Yeterlilikler yerine getirilmekte midir? Kayıtları mevcut mudur?</t>
  </si>
  <si>
    <t xml:space="preserve">Kalite Sis. Yön.
Üretim Kalite Kontrol Sor. Kalite Kont. Op.
</t>
  </si>
  <si>
    <t xml:space="preserve">Kalite Sis. Yön.
 Kalite Kontrol Sor. 
</t>
  </si>
  <si>
    <t xml:space="preserve">Uygun Olmayan Ürünün Farkedilmesi konusunda personel yeterliliklere sahip mi, süreç etkin olarak yönetiliyor mu?
 </t>
  </si>
  <si>
    <t xml:space="preserve">Kalite sis. Yön.- Kalite Kont Sor..Üretim &amp; Kontrol Operatörleri
</t>
  </si>
  <si>
    <t xml:space="preserve">Uygun olmayan ürünler için sahada belirleyeci tanımlamalar yapılmakta mıdır? Roller ve görevler tanımlanmış , uygun olmayan ürünlerde personel tarafından gerekli önlemler alınmakta mıdır? 
</t>
  </si>
  <si>
    <t>8.7.1.3</t>
  </si>
  <si>
    <t xml:space="preserve">Kalite sis. Yön. - Kalite Kontr. Sor..- Üretim &amp; Kontrol Operatörleri
</t>
  </si>
  <si>
    <t xml:space="preserve">Uygun olmayan ürünlerin kriterleri kontrol planı/ talimatlarında belirtilmiş, ürünler bu kabul kriterlerine göre doğrulanmakta mıdır? İncelenen ürünler kayıt altına alınmakta mıdır? </t>
  </si>
  <si>
    <t xml:space="preserve">Uygun omayan ürünlerin uygunsuzluklarının giderilmesi ile ilgili önlemler alınıyor mu? Alınan önlemler kayıt altına alınmakta mıdır? </t>
  </si>
  <si>
    <t xml:space="preserve">Kalite Sistem Yöneticisi
</t>
  </si>
  <si>
    <t>8.7.1.4</t>
  </si>
  <si>
    <t xml:space="preserve">Kalite sis. Yön. Kalite Kont.Sor..Üretim &amp; Kontrol Operatörleri
</t>
  </si>
  <si>
    <t xml:space="preserve">Uygun Olmayan Projelerin Azaltılmasının İzlenmesi ve azaltılması için iyileştirmeler gerçekleştirilmekte ve gerekli önlemler alınmakta mıdır?
</t>
  </si>
  <si>
    <t xml:space="preserve">Uygun / Uygun Olmayan ürünlerin ayrımı için tanımlamalar belirlenmiş midir?
</t>
  </si>
  <si>
    <t xml:space="preserve">Kalite Sistem Yöneticisi,Kalite Kont. Sorumlusu, Proses Sahipleri
</t>
  </si>
  <si>
    <t>Uygun olmayan ürün gönderildiğinin anlaşıldığı durumda müşteriye yazılı olarak bilgi verilmekte midir?</t>
  </si>
  <si>
    <t>8.7.1.6</t>
  </si>
  <si>
    <t>Ürünlerin ve üretim sürecinin onaylanandan farklı olması durumunda ilgili müşteriden sapma/vazgeçme yazısı alınmakta mıdır?</t>
  </si>
  <si>
    <t>8.7.1.1</t>
  </si>
  <si>
    <t xml:space="preserve">Kalite Sistem Yöneticisi,Kalite Kont. Sorumlusu
</t>
  </si>
  <si>
    <t>Uygun olmayan ürünler için ayıklama yöntemleri belirlenmiş midir? Yeniden işleme kayıtları tutulmakta mıdır? Roller tanımlanmış ve personel gerekli yeterlilikleri sağlamakta mıdır?</t>
  </si>
  <si>
    <t>Uygun olmayan ürünler için ayıklama yöntemleri belirlenmiş midir? Tamir edilen ürün kayıtları tutulmakta mıdır? Roller tanımlanmış ve personel gerekli yeterlilikleri sağlamakta mıdır?</t>
  </si>
  <si>
    <t>8.7.1.5</t>
  </si>
  <si>
    <t>8.6</t>
  </si>
  <si>
    <t>Sapma/vazgeçme miktar ve süre içeriyor mu, bu şartlara uyum sağlanıyor mu, ürün ambalajları tanımlanarak mı sevk ediliyor.</t>
  </si>
  <si>
    <t>Onur Yalçın</t>
  </si>
  <si>
    <t>Mal Kabul sahasının tanımlanmış olduğu gözlendi</t>
  </si>
  <si>
    <t>D4 T 8.17 Sapma İzin Talimatı</t>
  </si>
  <si>
    <t>√</t>
  </si>
  <si>
    <t>DENETİM BULGULARI:</t>
  </si>
  <si>
    <t xml:space="preserve">1) Uygunsuzluklar: </t>
  </si>
  <si>
    <t>Uygunsuzluk tespit edilmemiştir.</t>
  </si>
  <si>
    <t>2) Kuvvetli Yönler:</t>
  </si>
  <si>
    <t>3) İyileştirme Önerileri:</t>
  </si>
  <si>
    <t>DENETİM SONUCU:</t>
  </si>
  <si>
    <t>İsim Soyisim</t>
  </si>
  <si>
    <t>7.5.2</t>
  </si>
  <si>
    <t>Ürünlerin belirlenen şartlara uygunluğunu kanıtlamak için gereken izleme ve ölçme cihazları belirlenmiş midir ?</t>
  </si>
  <si>
    <t>Hangi ölçme cihazlarının kalibrasyon kapsamında olduğu ve kapsama alma kriterleri belirlenmiş midir ?</t>
  </si>
  <si>
    <t>7.5.2.1</t>
  </si>
  <si>
    <t>Ölçme cihazlarının belirlenmiş aralıklarla veya kullanımdan önce kalibre ediliyor veya doğrulanıyor mu ?</t>
  </si>
  <si>
    <t>Ölçme cihazlar kalibrasyon durumunu tespit etmeye imkan verecek şekilde  tanımlanmış mıdır ?</t>
  </si>
  <si>
    <t>Ölçme cihazlarının yetkili kişiler tarafından ayarlanma / yeniden ayarlanma işlemleri yapılmakta mıdır ?</t>
  </si>
  <si>
    <t>Ölçme cihazları; taşıma, bakım ve depolanma sırasında hasar ve bozulmalara karşı korunmakta mıdır ?</t>
  </si>
  <si>
    <t>Ölçülen ürünlerle, ölçüm cihazları arasında ilşkiyi gösteren kayıtlar tutulmakta mıdır ?</t>
  </si>
  <si>
    <t>Ölçüm sonuçlarının geçersizliğide, ölçüm sonuçlarının geçersizliğinden etkilenecek ürünler belirleniyor ve gerekli tedbirler alınıyor mu ?</t>
  </si>
  <si>
    <t>Kalibrasyon ve doğrulama sonuçlarının kayıtları muhafaza ediliyor mu ?</t>
  </si>
  <si>
    <t>Müşterilerin kriterlerini de uygun  şekilde, ölçenlerin ve ölçüm cihazlarının değişkenliklerini belirlemek amacıyla çalışmalar yapılmakta mıdır ?</t>
  </si>
  <si>
    <t xml:space="preserve">Kalibrasyon  kayıtları; kalibrasyon/doğrulama standartları, sonuçların uygun olmaması durumunda müşterinin bilgilendirilmesini içeriyor mu ? </t>
  </si>
  <si>
    <t>7.5.1</t>
  </si>
  <si>
    <t xml:space="preserve">Laboratuar kapsamı tanımlı mıdır ? İlgili test metodlarına ve stanadrtlarına atıf yapılmış mıdır? </t>
  </si>
  <si>
    <t>Laboratuar personelinin yetkinliği tanımlı mıdır, laboratuar personeli tanımlanmış yetkinliğe uygun mudur ?</t>
  </si>
  <si>
    <t>Laboratuarda yapılan testlerin kayıtları tutulmakta ve bu kayıtlar belirlenen sıklıklarda gözden geçirilmekte midir ?</t>
  </si>
  <si>
    <t>Dış test / kalibrasyon laboratuarları ISO/IEC 17025 belgesine sahip veya müşteriler tarafından onaylı mıdır ?</t>
  </si>
  <si>
    <t>Ekipman üreticisinden alınan test / kalibrasyon hizmetlerinde,  laboratuar koşulları ve yeterlilik durumlarına göre değerlendirme yapılıyor  mu?</t>
  </si>
  <si>
    <t>Tüm prosesler gözden geçirilmekte ve aksiyon planında önceliklendirme yaılmakta ve bunlar için kaynak planlamaası yapılmakta mıdır?</t>
  </si>
  <si>
    <t>37-39-40</t>
  </si>
  <si>
    <t>10.3.1</t>
  </si>
  <si>
    <t xml:space="preserve">
Genel Müdür,Kalite Sis. Yön., İlgili Proses SAhipleri
</t>
  </si>
  <si>
    <t>21-25</t>
  </si>
  <si>
    <t>8.5.6</t>
  </si>
  <si>
    <t>Genel Müdür,Kalite sistem Yön.,Proses Sahipleri</t>
  </si>
  <si>
    <t>Hedeflere Ulaşmada Mevcut ve Olası Engeller İçin Risk Analiz yöntemleri belirlenmiş midir? Risk analizleri yapılmakta ve belirlenen aksiyonlar takip edilmekte midir?</t>
  </si>
  <si>
    <t>Özel ve Kritik Ürün ve Proses Karakteristikleri İçin Kararlılık ve Yeterliliklerini sağlamak amacı ile yöntemler belirlenmiş midir? İzleme kayıtları tutulmakta ve etkin olarak yürütülmekte midir?</t>
  </si>
  <si>
    <t>9.1.1.1</t>
  </si>
  <si>
    <t xml:space="preserve">Kalite Sistem Yöneticisi, Üretim &amp; Tasarım Yöneticisi ,Lab. Sorumlusu
</t>
  </si>
  <si>
    <t>Özel karakteristikler için SPC izlemesi yapılmakta mıdır? Cpk değeri&lt;1.67 olan özellikler için %100 kontrol uygulanmakta mıdır? Kayıtları etkin olarak tutulmakta mıdır?</t>
  </si>
  <si>
    <t>9.1.1.2</t>
  </si>
  <si>
    <t>SPC uygulanmakta ve kayıtları mevcuttur. Kontak Mili ürünlerinde %100 otomatik ölçüm cihazında kontrol edilmektedir.Mastar kontrol uygulamaları mevcuttur.</t>
  </si>
  <si>
    <t>Belirlenen istatistiksel yöntemler için görev ve sorumluluklar tanımlanmış ve personel yetkinlikleri ile eğitimleri yeterli midir? Eğitim kayıtları tutulmakta mıdır?</t>
  </si>
  <si>
    <t>9.1.1.3</t>
  </si>
  <si>
    <t>Kalite Sistem Yöneticisi, Personel Sorumlusu</t>
  </si>
  <si>
    <t>Sistem ve donanım şartları sağlanmıştır. Yazılım proğramı canias ile deteklenmektedir.</t>
  </si>
  <si>
    <t>Müşteri memnuniyeti ölçülmektedir. Canias  Salt72 Müşteri Teslimat ve kalite değerlendirmesi gözlendi.</t>
  </si>
  <si>
    <t>Onur Yalçın-Doğan İnceoğlu</t>
  </si>
  <si>
    <t>Süreç Bazlı YGG toplantıları gerçekleştirilmekte ve analiz ve değerlendirmeler gerçekleştirilmektedir.</t>
  </si>
  <si>
    <t xml:space="preserve">Cihaz ve mastarlar labaratuvar ortamındadır. </t>
  </si>
  <si>
    <t xml:space="preserve">D06 Kalite Kontrol </t>
  </si>
  <si>
    <t xml:space="preserve">İmza ve tarih : </t>
  </si>
  <si>
    <t>Ana Referansı:D06 P01 Ürünlerin İzlenmesi ve Ölçülmesi Prosedürü-D06 P02 Uygun Olmayan Ürünün Kontrolü Prosedürü</t>
  </si>
  <si>
    <t>Güllü ÜNLÜ,Fevzi Ünal, Ferhat SARPDAĞ,Nilsena Koç Ferudun GÜNDÜZ</t>
  </si>
  <si>
    <t>Denetim Tarihi ve Kodu: 06.05.2025</t>
  </si>
  <si>
    <t xml:space="preserve">Y02.3 F15 KALİTE KONTROL PROSESİ RİSK DEĞERLENDİRME LERİNDE KAPLUMBAĞA DİY AGRAMI VE performasn paramatereleri belirlenmiştir.Örn risklerden biri Girdi muayene kalite planının yetersiz olması </t>
  </si>
  <si>
    <t>Y02.3 F15 KALİTE KONTROL PROSESİ RİSK DEĞERLENDİRME LERİNDE KAPLUMBAĞA DİY AGRAMI VE performasn paramatereleri belirlenmiştir.Örn Teslimat Kalite Performansı % performans parametresi takip edilmektedir.</t>
  </si>
  <si>
    <t xml:space="preserve">Y02.3 F15 KALİTE KONTROL PROSESİ RİSK DEĞERLENDİRME </t>
  </si>
  <si>
    <t>Y01 P03 Değişikliklerin Yönetimi Prosedürü</t>
  </si>
  <si>
    <t>Y01 P01 Döküman Yönetimi Prosedürü nde tüm süreç iletiişimleri belirlenmiştir.</t>
  </si>
  <si>
    <t>Günlük QRQC toplantıları,performans parametrelerin aylık olarak ve yıllık olarak YGG de gözden geçirilmektedir. 
Kullanımda tespit edilen Geçersiz Doküman Sayısı 02.05.2025 0 adet olarak görülmüştür.</t>
  </si>
  <si>
    <t>QLTT 07 Düzeltici faaliyetler düzenlenmekte ve tüm  Listede takip edilmektedir.Müşteri Şikayeti - 00000134 nolu 8D raporuQLTT07 incelenmiştir.</t>
  </si>
  <si>
    <t>03.05.2025 tarihinde Y01 dürecinin denetim raporu görüldü. Minör uygunsuzluk görülmemişitri. 1ad iyileştirme mevcuttur.Y03 P02 DEnetim Yönetimi Prosüdürü
Y03 F08 İç&amp;Dış Denetim Planı Süreç , proses ve diğer denetimlerin planlandığı görüldü.24.03.2025 tarihinde 405898 proses denetimi gerçekleştirilmiş.</t>
  </si>
  <si>
    <t>Tüm ekimpanaların izleme ve ölçmeleri gerçekelştirilmektedir.D04 P01 Ölçüm Sistemlerinin Yönetimi Prosedürü
Enj. Yap. 698637 Switch Cover 4 Kav O Ri ürünün seriimalat başlangıcı raporunda 17.75 ölçüm aleti kullanımı seçilerek yapılmaktadır.bu raporda ARC0024 nolu kompratör kullnılmış. bir sonraki kalibraYON TAR 17.10.2025 doğrulama tarihi 02.05.2025 yapılmıştır</t>
  </si>
  <si>
    <t>Kalite politikasına şirket i,çerisinde duyuru panosundan ulaşılabiliridir. Web sayfası nda da ilan edilmiştir.D4.2 T01 Kalite Politikası &amp; D4.2 T02 Çevre Politikası&amp; D4.2 T03 İSG Politikası</t>
  </si>
  <si>
    <t>Kalibrasyon işlemleri için dış hizmet alınmaktadır. 3 ila 6 ayda bir doğrulamalar yapılmaktadır.Ölçüm cihazları 2 ayda bir doğrulanmaktadır.D8.3 F02 İzl. Ölç. Cih. &amp; Kalib. Listesi_2025 _Ekipman no Vswitch Cover(564327/698637)26.5 son yapılan doğrulama 21.03.2025
Laboratuvar kompratörü 21215371 kailbrasyon tar,ihi 17.10.2025 son doğrulama tarihi 02.05.2025</t>
  </si>
  <si>
    <t>Y02.3 F15 KALİTE KONTROL PROSESİ RİSK DEĞERLENDİRME roller tanımlıdır.D2 T23 Görev Tanımı - Kalite Kontrol Operatörleri incelendi.</t>
  </si>
  <si>
    <t>D2 F 6 02 Çok Görevlilk Tablosu-2024 &amp; HCMT21 Canias IK modülüne geçiş yapılmaktadır. Bbu modül ile TRNT 21 de gerçekleştirilen eğitimler sonrası kazanılan nitelikler personel siciline işlenmektedir. Eğitim almadğı herhangibir işte çalışması ve etiket alması imkansızdır.Valeo Switch Cover 564327 - 698637 Kalite Kontrol Eğitimi Zübeyde Kösem 14.02.2025 tarihinde eğitim aldığı görüldü</t>
  </si>
  <si>
    <t>D2 F 6 02 Çok Görevlilk Tablosu-2024 &amp; HCMT21 Canias IK modülüne geçiş yapılmaktadır. Bbu modül ile TRNT 21 de gerçekleştirilen eğitimler sonrası kazanılan nitelikler personel siciline işlenmektedir. Eğitim almadğı herhangibir işte çalışması ve etiket alması imkansızdır.Valeo Switch Cover 564327 - 698637 Kalite Kontrol Eğitimi Zübeyde Kösem 14.02.2025 tarihinde eğitim aldığı görüldü
D01.1 P01 Eğitim Prosedürü yerine getirilmektedir. İlgili süreçlerde eğitim planına uygun eğitimler yerine getirilmektedir.D2 F 6 02 Çok Görevlilk Tablosu ilgili bölümler ile ilgili yeterlilikler takip edilmektedir.( kalite kontrol operatörleri görülüd-Ayşe Çakal)</t>
  </si>
  <si>
    <t>D06 P01 Ürünlerin İzlenmesi ve Ölçülmesi Prosedürü - kontrol planlarında tanımlanmış olup ilfgili ekipmanlar kullanılıyor. İzlenebilirlik kayıtları DBKT02 sağlanabiliyor.</t>
  </si>
  <si>
    <t>D04 P01 Ölçüm Sistemlerinin Yönetimi Prosedürü-D5 F8.02 İzl. Ölç. Cih. &amp; Kalib. Listesi_2025</t>
  </si>
  <si>
    <t>D04 P01 Ölçüm Sistemlerinin Yönetimi Prosedürü</t>
  </si>
  <si>
    <t>D04 P01 Ölçüm Sistemlerinin Yönetimi Prosedürü
Ekipman no Vswitch Cover(564327/698637)26.5 son yapılan doğrulama 21.03.2025
Laboratuvar kompratörü 21215371 kailbrasyon tar,ihi 17.10.2025 son doğrulama tarihi 02.05.2025 k.</t>
  </si>
  <si>
    <t>D04 P01 Ölçüm Sistemlerinin Yönetimi Prosedürü-D5 F8.02 İzl. Ölç. Cih. &amp; Kalib. Listesi_2025,Ekipman no Vswitch Cover(564327/698637)26.5 son yapılan doğrulama 21.03.2025 mastarlar etiketlenmekte ve üzerinde kalibrasyon ve doğrulama tarihleri bulunuyor.</t>
  </si>
  <si>
    <t>D04 P01 Ölçüm Sistemlerinin Yönetimi Prosedürü-'Ekipman no Vswitch Cover(564327/698637)26.5 son yapılan doğrulama 21.03.2025</t>
  </si>
  <si>
    <t>D8.3 F01 Laboratuvar Kapsamı</t>
  </si>
  <si>
    <t>D01.1 F03 Çok Görevlilk Tablosu-2025 - Laboratuvar -Fevzi Ünal tüm yetkinliklere sahiptir.</t>
  </si>
  <si>
    <t>Ölçüm aletlerinin yeterlilik raporlarına rastlandı.
MSA (D7E - G288) Delik Çap MSA 25.04.2025 sonucu etkinlik %100</t>
  </si>
  <si>
    <t>aksiyon planları mevcuttur.D06 P02 Uygun Olmayan Ürünün Kontrolü Prosedürü</t>
  </si>
  <si>
    <t>DBKT02 Kalite Kontrol raporlarında kullanılan ekipman numarasına rastlandı.Enj. Yap. 698637 Switch Cover 4 Kav O Ri ürünün seriimalat başlangıcı raporunda 17.75 ölçüm aleti kullanımı seçilerek yapılmaktadır.bu raporda ARC0024 nolu kompratör kullnılmış.</t>
  </si>
  <si>
    <t>Belge kontroleri gerçekleştirilmiştir.Egemet Firması ile çalışılmaktadır</t>
  </si>
  <si>
    <t>D04 P01 Ölçüm Sistemlerinin Yönetimi Prosedürü-D5 F8.02 İzl. Ölç. Cih. &amp; Kalib. Listesi_2025 Rapor kontrollerinin uygunluğu değerlendrilmiştir.</t>
  </si>
  <si>
    <t>D06 P02 Uygun Olmayan Ürünün Kontrolü Prosedürü</t>
  </si>
  <si>
    <t>D4 T 8.03 5 Ürün Kontrol Talimatlarında belirtilmektedir.DBKT02 Kalite Kontrol de Üretim başlangıç raporlarına 01 - 1. seviye ve 00- 2. seviye kontrol planları QLTT01 de hazırlanmış ve sistemde işemri aktive olduğunda anlık veri akışı olmaktadır. Seri imalat,duruş ,ara kontroller ve son imalatta ölçü raporu aktive etmiştir.Üretim sahaları ve yazılım için kullanılan donanımlar her makinede mevcut ve çalışır durumda. 10-14323 işemri no kontrol edildi. Seri üretim başlangıcı ve periyodik kontroller görüldü</t>
  </si>
  <si>
    <t xml:space="preserve">
D06.1 T007 Hammadde Malzeme Giriş kontrol Talimatı. QLTT03 modülüne kontrol planları atılarak her giriş için ayrı işemri oluşturulup kayıt altına alınıyor.</t>
  </si>
  <si>
    <t>Uygun olmayan ürün prosedürü konusunda personelin yetkin olduğu gözlendi. Ayrıca tüm süreçlerde Canias proğramı üzerinden Yeniden işlem &amp; karantina uygulaması yürütülmekte ve fiziki olarakta uygulamaların olduğu gözlendi.D06 P02 Uygun Olmayan Ürünün Kontrolü Prosedürü</t>
  </si>
  <si>
    <t>D06 P02 Uygun Olmayan Ürünün Kontrolü Prosedürü
D06 T8.22 Uygun Olm Ürün Yönetimi Talimatı</t>
  </si>
  <si>
    <t xml:space="preserve">D06 P02 Uygun Olmayan Ürünün Kontrolü Prosedürü
D06 T8.22 Uygun Olm Ürün Yönetimi Talimatı
D06 F8.23  Karantina Listesi </t>
  </si>
  <si>
    <t>QLTT07 de müşter, performans düşüklüğü ve tedarikçi için açılmış 8D ler gözlendi.QLTT 07 Düzeltici faaliyetler düzenlenmekte ve tüm  Listede takip edilmektedir.Müşteri Şikayeti - 00000134 nolu 8D raporuQLTT07 incelenmiştir.</t>
  </si>
  <si>
    <t>QLTT07 de müşter, performans düşüklüğü ve tedarikçi için açılmış 8D ler gözlendi.QLTT 07 Düzeltici faaliyetler düzenlenmekte ve tüm  Listede takip edilmektedir.Müşteri Şikayeti - 00000134 nolu 8D raporuQLTT07 incelenmiştir.YENİDEN İŞLEM TAKİP LİSTESİ_2025</t>
  </si>
  <si>
    <t>Y03 F02 iyileştirme Projeleri Takip Listesi-2015 -2025 iyileştirmeler uygulanmakta ve yerine getirilmktedir.</t>
  </si>
  <si>
    <t xml:space="preserve">D06 P02 Uygun Olmayan Ürünün Kontrolü Prosedürü
i </t>
  </si>
  <si>
    <t>Y02.3 F15 KALİTE KONTROL PROSESİ RİSK DEĞERLENDİRME LERİNDE  riskler tanımlanmıtır.</t>
  </si>
  <si>
    <t>D06 P01 Ürünlerin İzlenmesi ve Ölçülmesi Prosedürü-'D04 P01 Ölçüm Sistemlerinin Yönetimi Prosedürü
Ekipmanların özel karakteristikler için oluşturulmuş kararlık çalışmalarına rastlandı.MSA kayıtlar ımevctuur.06.04.2024 MSA raporu incelendi.S.cover 18,1+/-0,1 Visio ölçüm ekipmanı yeterliliği uygun olduğu görülüdü% GRR = 8,86</t>
  </si>
  <si>
    <t>D01.1 P01 Eğitim Prosedürü-TRNT21 de eğitim kayırları tutulmaktadır.</t>
  </si>
  <si>
    <t>D4.4 F06 Tüm Süreçler Performans İzleme Tablosu 2025
Valeo Termoset Diğer Ürün Grupları hedef 20.500 ppm 4.ay 2025 sonucu 17277 ppm olduğu görüldü.</t>
  </si>
  <si>
    <t>D06 P01 Ürünlerin İzlenmesi ve Ölçülmesi Prosedürü-D06 P02 Uygun Olmayan Ürünün Kontrolü Prosedürü</t>
  </si>
  <si>
    <t>Y03 P01  Performans Değerlendirme ve İyileştirme Yönetimi Prosedürü
Y03 F06 Tüm Süreçler Performans İzleme Tablosu 2025. kayırları her süreç için mevcuttur.Valeo Termoset Diğer Ürün Grupları hedef 20.500 ppm 4.ay 2025 sonucu 17277 ppm olduğu görüldü.</t>
  </si>
  <si>
    <t>Yazılım ile kalite yönetiminin desteklenmesinin ve işletilmesinin etkin olduğu gözlendi.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</si>
</sst>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Arial"/>
      <family val="2"/>
      <charset val="162"/>
    </font>
    <font>
      <sz val="11"/>
      <color theme="1"/>
      <name val="Arial"/>
      <family val="2"/>
      <charset val="162"/>
    </font>
    <font>
      <b/>
      <sz val="11"/>
      <color theme="1"/>
      <name val="Arial"/>
      <family val="2"/>
      <charset val="162"/>
    </font>
    <font>
      <sz val="10"/>
      <name val="Arial"/>
      <family val="2"/>
      <charset val="162"/>
    </font>
    <font>
      <b/>
      <sz val="16"/>
      <name val="Arial"/>
      <family val="2"/>
      <charset val="162"/>
    </font>
    <font>
      <b/>
      <sz val="11"/>
      <name val="Arial"/>
      <family val="2"/>
      <charset val="162"/>
    </font>
    <font>
      <sz val="10"/>
      <color theme="1"/>
      <name val="Arial"/>
      <family val="2"/>
      <charset val="162"/>
    </font>
    <font>
      <sz val="12"/>
      <color theme="1"/>
      <name val="Arial"/>
      <family val="2"/>
      <charset val="162"/>
    </font>
    <font>
      <sz val="8"/>
      <color theme="1"/>
      <name val="Arial"/>
      <family val="2"/>
      <charset val="162"/>
    </font>
    <font>
      <sz val="11"/>
      <name val="Arial"/>
      <family val="2"/>
      <charset val="162"/>
    </font>
    <font>
      <sz val="6"/>
      <color theme="1"/>
      <name val="Arial"/>
      <family val="2"/>
      <charset val="162"/>
    </font>
    <font>
      <b/>
      <sz val="10"/>
      <color theme="1"/>
      <name val="Arial"/>
      <family val="2"/>
      <charset val="162"/>
    </font>
    <font>
      <sz val="8"/>
      <name val="Arial"/>
      <family val="2"/>
      <charset val="162"/>
    </font>
    <font>
      <b/>
      <sz val="8"/>
      <name val="Arial"/>
      <family val="2"/>
      <charset val="162"/>
    </font>
    <font>
      <b/>
      <sz val="8"/>
      <color theme="1"/>
      <name val="Arial"/>
      <family val="2"/>
      <charset val="162"/>
    </font>
    <font>
      <sz val="12"/>
      <color theme="1"/>
      <name val="Arial Tur"/>
      <charset val="162"/>
    </font>
    <font>
      <b/>
      <sz val="12"/>
      <name val="Arial"/>
      <family val="2"/>
      <charset val="162"/>
    </font>
    <font>
      <b/>
      <sz val="10"/>
      <name val="Arial"/>
      <family val="2"/>
      <charset val="162"/>
    </font>
    <font>
      <sz val="9"/>
      <color theme="1"/>
      <name val="Arial"/>
      <family val="2"/>
      <charset val="162"/>
    </font>
    <font>
      <sz val="16"/>
      <color theme="1"/>
      <name val="Arial Tur"/>
      <charset val="162"/>
    </font>
    <font>
      <b/>
      <sz val="22"/>
      <name val="Arial Tur"/>
      <charset val="162"/>
    </font>
    <font>
      <sz val="8"/>
      <color theme="1"/>
      <name val="Calibri"/>
      <family val="2"/>
      <scheme val="minor"/>
    </font>
    <font>
      <sz val="9"/>
      <name val="Arial"/>
      <family val="2"/>
      <charset val="162"/>
    </font>
  </fonts>
  <fills count="6">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indexed="9"/>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4" fillId="0" borderId="0"/>
  </cellStyleXfs>
  <cellXfs count="137">
    <xf numFmtId="0" fontId="0" fillId="0" borderId="0" xfId="0"/>
    <xf numFmtId="0" fontId="2" fillId="0" borderId="0" xfId="0" applyFont="1"/>
    <xf numFmtId="0" fontId="6" fillId="2" borderId="2" xfId="0" applyFont="1" applyFill="1" applyBorder="1" applyAlignment="1">
      <alignment horizontal="left" vertical="center"/>
    </xf>
    <xf numFmtId="49" fontId="7" fillId="3" borderId="4" xfId="0" applyNumberFormat="1" applyFont="1" applyFill="1" applyBorder="1"/>
    <xf numFmtId="0" fontId="4" fillId="3" borderId="6" xfId="0" applyFont="1" applyFill="1" applyBorder="1" applyAlignment="1">
      <alignment horizontal="center" vertical="center"/>
    </xf>
    <xf numFmtId="49" fontId="7" fillId="3" borderId="5" xfId="0" applyNumberFormat="1" applyFont="1" applyFill="1" applyBorder="1"/>
    <xf numFmtId="0" fontId="2" fillId="0" borderId="6" xfId="0" applyFont="1" applyBorder="1" applyAlignment="1">
      <alignment horizontal="center" vertical="center"/>
    </xf>
    <xf numFmtId="0" fontId="7" fillId="0" borderId="6" xfId="0" applyFont="1" applyBorder="1" applyAlignment="1">
      <alignment vertical="center" wrapText="1"/>
    </xf>
    <xf numFmtId="0" fontId="2" fillId="0" borderId="6" xfId="0" applyFont="1" applyBorder="1"/>
    <xf numFmtId="0" fontId="2" fillId="0" borderId="0" xfId="0" applyFont="1" applyAlignment="1">
      <alignment horizontal="center" vertical="center"/>
    </xf>
    <xf numFmtId="0" fontId="8" fillId="0" borderId="0" xfId="0" applyFont="1" applyAlignment="1">
      <alignment horizontal="center" vertical="center"/>
    </xf>
    <xf numFmtId="49" fontId="2" fillId="0" borderId="0" xfId="0" applyNumberFormat="1" applyFont="1" applyAlignment="1">
      <alignment horizontal="center" vertical="center"/>
    </xf>
    <xf numFmtId="49" fontId="7" fillId="0" borderId="6" xfId="0" applyNumberFormat="1" applyFont="1" applyBorder="1" applyAlignment="1">
      <alignment horizontal="center" vertical="center" wrapText="1"/>
    </xf>
    <xf numFmtId="0" fontId="5" fillId="2" borderId="1" xfId="0" applyFont="1" applyFill="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1" xfId="0" applyFont="1" applyFill="1" applyBorder="1"/>
    <xf numFmtId="0" fontId="5" fillId="2" borderId="2" xfId="0" applyFont="1" applyFill="1" applyBorder="1"/>
    <xf numFmtId="0" fontId="5" fillId="2" borderId="3" xfId="0" applyFont="1" applyFill="1" applyBorder="1"/>
    <xf numFmtId="0" fontId="10" fillId="4" borderId="0" xfId="0" applyFont="1" applyFill="1" applyAlignment="1">
      <alignment horizontal="center" vertical="center"/>
    </xf>
    <xf numFmtId="0" fontId="7" fillId="4" borderId="6" xfId="0" applyFont="1" applyFill="1" applyBorder="1" applyAlignment="1">
      <alignment vertical="center" wrapText="1"/>
    </xf>
    <xf numFmtId="0" fontId="9" fillId="0" borderId="1" xfId="0" applyFont="1" applyBorder="1" applyAlignment="1">
      <alignment horizontal="left" vertical="center" wrapText="1"/>
    </xf>
    <xf numFmtId="0" fontId="7" fillId="0" borderId="6" xfId="0" applyFont="1" applyBorder="1" applyAlignment="1">
      <alignment horizontal="center" vertical="center" wrapText="1"/>
    </xf>
    <xf numFmtId="0" fontId="1" fillId="0" borderId="0" xfId="0" applyFont="1"/>
    <xf numFmtId="49" fontId="6" fillId="2" borderId="2" xfId="0" applyNumberFormat="1" applyFont="1" applyFill="1" applyBorder="1" applyAlignment="1">
      <alignment horizontal="left" vertical="center"/>
    </xf>
    <xf numFmtId="49" fontId="1" fillId="0" borderId="0" xfId="0" applyNumberFormat="1" applyFont="1" applyAlignment="1">
      <alignment horizontal="center" vertical="center"/>
    </xf>
    <xf numFmtId="49" fontId="6" fillId="2" borderId="1" xfId="0" quotePrefix="1" applyNumberFormat="1" applyFont="1" applyFill="1" applyBorder="1" applyAlignment="1">
      <alignment horizontal="left" vertical="center"/>
    </xf>
    <xf numFmtId="0" fontId="4" fillId="4" borderId="6" xfId="0" quotePrefix="1" applyFont="1" applyFill="1" applyBorder="1" applyAlignment="1">
      <alignment horizontal="left" vertical="center" wrapText="1"/>
    </xf>
    <xf numFmtId="0" fontId="7" fillId="4" borderId="6" xfId="0" applyFont="1" applyFill="1" applyBorder="1" applyAlignment="1">
      <alignment horizontal="center" vertical="center" wrapText="1"/>
    </xf>
    <xf numFmtId="49" fontId="7" fillId="4" borderId="6" xfId="0" quotePrefix="1" applyNumberFormat="1" applyFont="1" applyFill="1" applyBorder="1" applyAlignment="1">
      <alignment horizontal="center" vertical="center" wrapText="1"/>
    </xf>
    <xf numFmtId="49" fontId="11" fillId="4" borderId="1" xfId="0" applyNumberFormat="1" applyFont="1" applyFill="1" applyBorder="1" applyAlignment="1">
      <alignment horizontal="left" vertical="center" wrapText="1"/>
    </xf>
    <xf numFmtId="0" fontId="7" fillId="4" borderId="6" xfId="0" quotePrefix="1" applyFont="1" applyFill="1" applyBorder="1" applyAlignment="1">
      <alignment horizontal="left" vertical="center" wrapText="1"/>
    </xf>
    <xf numFmtId="49" fontId="7" fillId="4" borderId="6" xfId="0" applyNumberFormat="1" applyFont="1" applyFill="1" applyBorder="1" applyAlignment="1">
      <alignment horizontal="center" vertical="center" wrapText="1"/>
    </xf>
    <xf numFmtId="49" fontId="4" fillId="4" borderId="6" xfId="0" quotePrefix="1" applyNumberFormat="1" applyFont="1" applyFill="1" applyBorder="1" applyAlignment="1">
      <alignment horizontal="center" vertical="center" wrapText="1"/>
    </xf>
    <xf numFmtId="49" fontId="11" fillId="4" borderId="1" xfId="0" quotePrefix="1" applyNumberFormat="1" applyFont="1" applyFill="1" applyBorder="1" applyAlignment="1">
      <alignment horizontal="left" vertical="center" wrapText="1"/>
    </xf>
    <xf numFmtId="49" fontId="13" fillId="4" borderId="6" xfId="0" quotePrefix="1" applyNumberFormat="1" applyFont="1" applyFill="1" applyBorder="1" applyAlignment="1">
      <alignment horizontal="center" vertical="center" wrapText="1"/>
    </xf>
    <xf numFmtId="49" fontId="4" fillId="4" borderId="6" xfId="0" quotePrefix="1" applyNumberFormat="1"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0" borderId="0" xfId="0" applyFont="1"/>
    <xf numFmtId="0" fontId="14" fillId="2" borderId="2" xfId="0" quotePrefix="1" applyFont="1" applyFill="1" applyBorder="1" applyAlignment="1">
      <alignment horizontal="left" vertical="center"/>
    </xf>
    <xf numFmtId="0" fontId="14" fillId="2" borderId="2" xfId="0" applyFont="1" applyFill="1" applyBorder="1"/>
    <xf numFmtId="0" fontId="9" fillId="2" borderId="2" xfId="0" applyFont="1" applyFill="1" applyBorder="1"/>
    <xf numFmtId="0" fontId="15" fillId="2" borderId="2" xfId="0" quotePrefix="1" applyFont="1" applyFill="1" applyBorder="1" applyAlignment="1">
      <alignment horizontal="left" vertical="center"/>
    </xf>
    <xf numFmtId="0" fontId="1" fillId="0" borderId="6" xfId="0" applyFont="1" applyBorder="1"/>
    <xf numFmtId="0" fontId="1" fillId="0" borderId="6" xfId="0" quotePrefix="1" applyFont="1" applyBorder="1" applyAlignment="1">
      <alignment horizontal="left"/>
    </xf>
    <xf numFmtId="0" fontId="1" fillId="0" borderId="6" xfId="0" quotePrefix="1" applyFont="1" applyBorder="1" applyAlignment="1">
      <alignment horizontal="left" wrapText="1"/>
    </xf>
    <xf numFmtId="0" fontId="9" fillId="2" borderId="2" xfId="0" quotePrefix="1" applyFont="1" applyFill="1" applyBorder="1" applyAlignment="1">
      <alignment horizontal="left"/>
    </xf>
    <xf numFmtId="0" fontId="16" fillId="0" borderId="6" xfId="0" applyFont="1" applyBorder="1" applyAlignment="1">
      <alignment horizontal="center" vertical="center"/>
    </xf>
    <xf numFmtId="0" fontId="17" fillId="5" borderId="0" xfId="0" applyFont="1" applyFill="1"/>
    <xf numFmtId="0" fontId="0" fillId="5" borderId="0" xfId="0" applyFill="1"/>
    <xf numFmtId="0" fontId="13" fillId="5" borderId="0" xfId="0" applyFont="1" applyFill="1"/>
    <xf numFmtId="0" fontId="18" fillId="5" borderId="0" xfId="0" applyFont="1" applyFill="1"/>
    <xf numFmtId="0" fontId="4" fillId="3" borderId="10" xfId="0" applyFont="1" applyFill="1" applyBorder="1" applyAlignment="1">
      <alignment horizontal="left"/>
    </xf>
    <xf numFmtId="0" fontId="0" fillId="3" borderId="12" xfId="0" applyFill="1" applyBorder="1"/>
    <xf numFmtId="0" fontId="0" fillId="3" borderId="9" xfId="0" applyFill="1" applyBorder="1"/>
    <xf numFmtId="0" fontId="4" fillId="5" borderId="0" xfId="0" applyFont="1" applyFill="1" applyAlignment="1">
      <alignment horizontal="left"/>
    </xf>
    <xf numFmtId="0" fontId="0" fillId="5" borderId="0" xfId="0" applyFill="1" applyAlignment="1">
      <alignment horizontal="center"/>
    </xf>
    <xf numFmtId="0" fontId="4" fillId="5" borderId="0" xfId="0" applyFont="1" applyFill="1"/>
    <xf numFmtId="49" fontId="1" fillId="3" borderId="0" xfId="0" applyNumberFormat="1" applyFont="1" applyFill="1" applyAlignment="1">
      <alignment horizontal="left" vertical="center"/>
    </xf>
    <xf numFmtId="49" fontId="1" fillId="3" borderId="0" xfId="0" applyNumberFormat="1" applyFont="1" applyFill="1" applyAlignment="1">
      <alignment horizontal="center" vertical="center"/>
    </xf>
    <xf numFmtId="0" fontId="4" fillId="3" borderId="0" xfId="0" applyFont="1" applyFill="1"/>
    <xf numFmtId="0" fontId="0" fillId="3" borderId="0" xfId="0" applyFill="1"/>
    <xf numFmtId="0" fontId="19" fillId="0" borderId="6" xfId="0" applyFont="1" applyBorder="1" applyAlignment="1">
      <alignment vertical="center" wrapText="1"/>
    </xf>
    <xf numFmtId="0" fontId="9" fillId="0" borderId="0" xfId="0" applyFont="1" applyAlignment="1">
      <alignment horizontal="left"/>
    </xf>
    <xf numFmtId="49" fontId="4" fillId="4" borderId="6" xfId="0" applyNumberFormat="1" applyFont="1" applyFill="1" applyBorder="1" applyAlignment="1">
      <alignment horizontal="center" vertical="center" wrapText="1"/>
    </xf>
    <xf numFmtId="0" fontId="1" fillId="0" borderId="0" xfId="0" applyFont="1" applyAlignment="1">
      <alignment horizontal="center" vertical="center"/>
    </xf>
    <xf numFmtId="0" fontId="7" fillId="4" borderId="6" xfId="0" quotePrefix="1" applyFont="1" applyFill="1" applyBorder="1" applyAlignment="1">
      <alignment horizontal="center" vertical="center" wrapText="1"/>
    </xf>
    <xf numFmtId="49" fontId="11" fillId="0" borderId="1" xfId="0" applyNumberFormat="1" applyFont="1" applyBorder="1" applyAlignment="1">
      <alignment horizontal="left" vertical="center" wrapText="1"/>
    </xf>
    <xf numFmtId="0" fontId="21" fillId="0" borderId="6" xfId="0" quotePrefix="1" applyFont="1" applyBorder="1" applyAlignment="1">
      <alignment horizontal="center" vertical="center"/>
    </xf>
    <xf numFmtId="49" fontId="11" fillId="0" borderId="1" xfId="0" quotePrefix="1" applyNumberFormat="1" applyFont="1" applyBorder="1" applyAlignment="1">
      <alignment horizontal="left" vertical="center" wrapText="1"/>
    </xf>
    <xf numFmtId="49" fontId="13" fillId="4" borderId="6" xfId="0" applyNumberFormat="1" applyFont="1" applyFill="1" applyBorder="1" applyAlignment="1">
      <alignment horizontal="center" vertical="center" wrapText="1"/>
    </xf>
    <xf numFmtId="0" fontId="20" fillId="4" borderId="6" xfId="0" applyFont="1" applyFill="1" applyBorder="1" applyAlignment="1">
      <alignment horizontal="center" vertical="center"/>
    </xf>
    <xf numFmtId="0" fontId="1" fillId="4" borderId="6" xfId="0" applyFont="1" applyFill="1" applyBorder="1"/>
    <xf numFmtId="0" fontId="1" fillId="4" borderId="0" xfId="0" applyFont="1" applyFill="1"/>
    <xf numFmtId="0" fontId="22" fillId="5" borderId="0" xfId="0" applyFont="1" applyFill="1" applyAlignment="1">
      <alignment horizontal="left"/>
    </xf>
    <xf numFmtId="0" fontId="22" fillId="5" borderId="0" xfId="0" applyFont="1" applyFill="1"/>
    <xf numFmtId="0" fontId="13" fillId="3" borderId="0" xfId="0" applyFont="1" applyFill="1" applyAlignment="1">
      <alignment horizontal="left"/>
    </xf>
    <xf numFmtId="0" fontId="22" fillId="3" borderId="0" xfId="0" applyFont="1" applyFill="1"/>
    <xf numFmtId="0" fontId="22" fillId="3" borderId="0" xfId="0" applyFont="1" applyFill="1" applyAlignment="1">
      <alignment horizontal="left"/>
    </xf>
    <xf numFmtId="0" fontId="7" fillId="3" borderId="0" xfId="0" applyFont="1" applyFill="1"/>
    <xf numFmtId="0" fontId="9" fillId="3" borderId="3" xfId="0" applyFont="1" applyFill="1" applyBorder="1" applyAlignment="1">
      <alignment horizontal="center" vertical="center" wrapText="1"/>
    </xf>
    <xf numFmtId="0" fontId="0" fillId="3" borderId="7" xfId="0" applyFill="1" applyBorder="1" applyAlignment="1">
      <alignment horizontal="left"/>
    </xf>
    <xf numFmtId="0" fontId="0" fillId="3" borderId="11" xfId="0" applyFill="1" applyBorder="1" applyAlignment="1">
      <alignment horizontal="left"/>
    </xf>
    <xf numFmtId="0" fontId="0" fillId="3" borderId="8" xfId="0" applyFill="1" applyBorder="1" applyAlignment="1">
      <alignment horizontal="left"/>
    </xf>
    <xf numFmtId="0" fontId="0" fillId="3" borderId="7" xfId="0" applyFill="1" applyBorder="1" applyAlignment="1">
      <alignment horizontal="left" wrapText="1"/>
    </xf>
    <xf numFmtId="0" fontId="0" fillId="3" borderId="11" xfId="0" applyFill="1" applyBorder="1" applyAlignment="1">
      <alignment horizontal="left" wrapText="1"/>
    </xf>
    <xf numFmtId="0" fontId="0" fillId="3" borderId="8" xfId="0" applyFill="1" applyBorder="1" applyAlignment="1">
      <alignment horizontal="left" wrapText="1"/>
    </xf>
    <xf numFmtId="0" fontId="0" fillId="3" borderId="10" xfId="0" applyFill="1" applyBorder="1" applyAlignment="1">
      <alignment horizontal="left" wrapText="1"/>
    </xf>
    <xf numFmtId="0" fontId="0" fillId="3" borderId="12" xfId="0" applyFill="1" applyBorder="1" applyAlignment="1">
      <alignment horizontal="left" wrapText="1"/>
    </xf>
    <xf numFmtId="0" fontId="0" fillId="3" borderId="9" xfId="0" applyFill="1" applyBorder="1" applyAlignment="1">
      <alignment horizontal="left" wrapText="1"/>
    </xf>
    <xf numFmtId="0" fontId="0" fillId="3" borderId="0" xfId="0" applyFill="1" applyAlignment="1">
      <alignment horizontal="left"/>
    </xf>
    <xf numFmtId="0" fontId="6" fillId="2" borderId="2" xfId="0" quotePrefix="1" applyFont="1" applyFill="1" applyBorder="1" applyAlignment="1">
      <alignment horizontal="center" vertical="center"/>
    </xf>
    <xf numFmtId="0" fontId="6" fillId="2" borderId="2"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9" fillId="4" borderId="1" xfId="0" applyFont="1" applyFill="1" applyBorder="1" applyAlignment="1">
      <alignment vertical="center" wrapText="1"/>
    </xf>
    <xf numFmtId="0" fontId="9" fillId="4" borderId="3" xfId="0" applyFont="1" applyFill="1" applyBorder="1" applyAlignment="1">
      <alignment vertical="center" wrapText="1"/>
    </xf>
    <xf numFmtId="49" fontId="6" fillId="2" borderId="1" xfId="0" quotePrefix="1" applyNumberFormat="1" applyFont="1" applyFill="1" applyBorder="1" applyAlignment="1">
      <alignment horizontal="left" vertical="center" wrapText="1"/>
    </xf>
    <xf numFmtId="49" fontId="6" fillId="2" borderId="2" xfId="0" applyNumberFormat="1" applyFont="1" applyFill="1" applyBorder="1" applyAlignment="1">
      <alignment horizontal="left" vertical="center" wrapText="1"/>
    </xf>
    <xf numFmtId="0" fontId="9" fillId="3" borderId="1" xfId="0" applyFont="1" applyFill="1" applyBorder="1" applyAlignment="1">
      <alignment horizontal="left" vertical="top" wrapText="1"/>
    </xf>
    <xf numFmtId="0" fontId="9" fillId="3" borderId="3" xfId="0" applyFont="1" applyFill="1" applyBorder="1" applyAlignment="1">
      <alignment horizontal="left" vertical="top" wrapText="1"/>
    </xf>
    <xf numFmtId="0" fontId="19" fillId="3" borderId="1" xfId="0" applyFont="1" applyFill="1" applyBorder="1" applyAlignment="1">
      <alignment vertical="center" wrapText="1"/>
    </xf>
    <xf numFmtId="0" fontId="19" fillId="3" borderId="3" xfId="0" applyFont="1" applyFill="1" applyBorder="1" applyAlignment="1">
      <alignment vertical="center" wrapText="1"/>
    </xf>
    <xf numFmtId="0" fontId="9" fillId="3" borderId="1" xfId="0" quotePrefix="1" applyFont="1" applyFill="1" applyBorder="1" applyAlignment="1">
      <alignment horizontal="left" vertical="center" wrapText="1"/>
    </xf>
    <xf numFmtId="0" fontId="9" fillId="3" borderId="3" xfId="0" applyFont="1" applyFill="1" applyBorder="1" applyAlignment="1">
      <alignment horizontal="left" vertical="center" wrapText="1"/>
    </xf>
    <xf numFmtId="0" fontId="9" fillId="3" borderId="1" xfId="0" applyFont="1" applyFill="1" applyBorder="1" applyAlignment="1">
      <alignment horizontal="left" vertical="center" wrapText="1"/>
    </xf>
    <xf numFmtId="0" fontId="9" fillId="3" borderId="1" xfId="0" quotePrefix="1" applyFont="1" applyFill="1" applyBorder="1" applyAlignment="1">
      <alignment horizontal="center" vertical="top" wrapText="1"/>
    </xf>
    <xf numFmtId="0" fontId="9" fillId="3" borderId="3" xfId="0" applyFont="1" applyFill="1" applyBorder="1" applyAlignment="1">
      <alignment horizontal="center" vertical="top" wrapText="1"/>
    </xf>
    <xf numFmtId="0" fontId="2" fillId="0" borderId="0" xfId="0" applyFont="1" applyAlignment="1">
      <alignment horizontal="center" vertical="center" wrapText="1"/>
    </xf>
    <xf numFmtId="0" fontId="14" fillId="3" borderId="7" xfId="0" applyFont="1" applyFill="1" applyBorder="1" applyAlignment="1">
      <alignment horizontal="center" vertical="center"/>
    </xf>
    <xf numFmtId="0" fontId="14" fillId="3" borderId="8" xfId="0" applyFont="1" applyFill="1" applyBorder="1" applyAlignment="1">
      <alignment horizontal="center" vertical="center"/>
    </xf>
    <xf numFmtId="0" fontId="14" fillId="3" borderId="10" xfId="0" applyFont="1" applyFill="1" applyBorder="1" applyAlignment="1">
      <alignment horizontal="center" vertical="center"/>
    </xf>
    <xf numFmtId="0" fontId="14" fillId="3" borderId="9" xfId="0" applyFont="1" applyFill="1" applyBorder="1" applyAlignment="1">
      <alignment horizontal="center" vertical="center"/>
    </xf>
    <xf numFmtId="49" fontId="3" fillId="3" borderId="4" xfId="0" applyNumberFormat="1" applyFont="1" applyFill="1" applyBorder="1" applyAlignment="1">
      <alignment horizontal="center" vertical="center" wrapText="1"/>
    </xf>
    <xf numFmtId="49" fontId="3" fillId="3" borderId="5" xfId="0" applyNumberFormat="1"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7" fillId="2" borderId="2" xfId="0" quotePrefix="1" applyFont="1" applyFill="1" applyBorder="1" applyAlignment="1">
      <alignment horizontal="center" vertical="center" wrapText="1"/>
    </xf>
    <xf numFmtId="0" fontId="9" fillId="3" borderId="1" xfId="0" quotePrefix="1" applyFont="1" applyFill="1" applyBorder="1" applyAlignment="1">
      <alignment horizontal="center" vertical="center" wrapText="1"/>
    </xf>
    <xf numFmtId="0" fontId="9" fillId="3" borderId="3"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23" fillId="3" borderId="1" xfId="0" applyFont="1" applyFill="1" applyBorder="1" applyAlignment="1">
      <alignment vertical="center" wrapText="1"/>
    </xf>
    <xf numFmtId="0" fontId="23" fillId="3" borderId="3" xfId="0" applyFont="1" applyFill="1" applyBorder="1" applyAlignment="1">
      <alignment vertical="center" wrapText="1"/>
    </xf>
    <xf numFmtId="0" fontId="19" fillId="3" borderId="1" xfId="0" quotePrefix="1" applyFont="1" applyFill="1" applyBorder="1" applyAlignment="1">
      <alignment vertical="center" wrapText="1"/>
    </xf>
    <xf numFmtId="0" fontId="19" fillId="3" borderId="3" xfId="0" quotePrefix="1" applyFont="1" applyFill="1" applyBorder="1" applyAlignment="1">
      <alignment vertical="center" wrapText="1"/>
    </xf>
    <xf numFmtId="0" fontId="19" fillId="3" borderId="1" xfId="0" quotePrefix="1" applyFont="1" applyFill="1" applyBorder="1" applyAlignment="1">
      <alignment horizontal="left" vertical="center" wrapText="1"/>
    </xf>
    <xf numFmtId="0" fontId="9" fillId="3" borderId="1" xfId="0" applyFont="1" applyFill="1" applyBorder="1" applyAlignment="1">
      <alignment horizontal="center" vertical="center" wrapText="1"/>
    </xf>
    <xf numFmtId="0" fontId="9" fillId="3" borderId="1" xfId="0" quotePrefix="1" applyFont="1" applyFill="1" applyBorder="1" applyAlignment="1">
      <alignment vertical="center" wrapText="1"/>
    </xf>
    <xf numFmtId="0" fontId="9" fillId="3" borderId="3" xfId="0" applyFont="1" applyFill="1" applyBorder="1" applyAlignment="1">
      <alignment vertical="center" wrapText="1"/>
    </xf>
    <xf numFmtId="0" fontId="9" fillId="3" borderId="1" xfId="0" applyFont="1" applyFill="1" applyBorder="1" applyAlignment="1">
      <alignment vertical="center" wrapText="1"/>
    </xf>
    <xf numFmtId="0" fontId="9" fillId="3" borderId="1" xfId="0" quotePrefix="1" applyFont="1" applyFill="1" applyBorder="1" applyAlignment="1">
      <alignment vertical="top" wrapText="1"/>
    </xf>
    <xf numFmtId="0" fontId="9" fillId="3" borderId="3" xfId="0" applyFont="1" applyFill="1" applyBorder="1" applyAlignment="1">
      <alignment vertical="top" wrapText="1"/>
    </xf>
    <xf numFmtId="0" fontId="9" fillId="3" borderId="1" xfId="0" applyFont="1" applyFill="1" applyBorder="1" applyAlignment="1">
      <alignment vertical="top" wrapText="1"/>
    </xf>
  </cellXfs>
  <cellStyles count="2">
    <cellStyle name="Normal" xfId="0" builtinId="0"/>
    <cellStyle name="Normal 2" xfId="1" xr:uid="{00000000-0005-0000-0000-000001000000}"/>
  </cellStyles>
  <dxfs count="1">
    <dxf>
      <fill>
        <patternFill>
          <bgColor theme="0" tint="-0.34998626667073579"/>
        </patternFill>
      </fill>
    </dxf>
  </dxfs>
  <tableStyles count="0" defaultTableStyle="TableStyleMedium2" defaultPivotStyle="PivotStyleMedium9"/>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7</xdr:col>
      <xdr:colOff>338418</xdr:colOff>
      <xdr:row>62</xdr:row>
      <xdr:rowOff>0</xdr:rowOff>
    </xdr:from>
    <xdr:ext cx="124521" cy="188450"/>
    <mc:AlternateContent xmlns:mc="http://schemas.openxmlformats.org/markup-compatibility/2006" xmlns:a14="http://schemas.microsoft.com/office/drawing/2010/main">
      <mc:Choice Requires="a14">
        <xdr:sp macro="" textlink="">
          <xdr:nvSpPr>
            <xdr:cNvPr id="2" name="Metin kutusu 1">
              <a:extLst>
                <a:ext uri="{FF2B5EF4-FFF2-40B4-BE49-F238E27FC236}">
                  <a16:creationId xmlns:a16="http://schemas.microsoft.com/office/drawing/2014/main" id="{69BF2458-8017-4FAA-B888-B0C782C80015}"/>
                </a:ext>
              </a:extLst>
            </xdr:cNvPr>
            <xdr:cNvSpPr txBox="1"/>
          </xdr:nvSpPr>
          <xdr:spPr>
            <a:xfrm>
              <a:off x="7264998" y="26594696"/>
              <a:ext cx="124521" cy="188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tr-TR" sz="1100" i="1">
                        <a:latin typeface="Cambria Math" panose="02040503050406030204" pitchFamily="18" charset="0"/>
                      </a:rPr>
                      <m:t>√</m:t>
                    </m:r>
                  </m:oMath>
                </m:oMathPara>
              </a14:m>
              <a:endParaRPr lang="tr-TR" sz="1100"/>
            </a:p>
          </xdr:txBody>
        </xdr:sp>
      </mc:Choice>
      <mc:Fallback xmlns="">
        <xdr:sp macro="" textlink="">
          <xdr:nvSpPr>
            <xdr:cNvPr id="2" name="Metin kutusu 1">
              <a:extLst>
                <a:ext uri="{FF2B5EF4-FFF2-40B4-BE49-F238E27FC236}">
                  <a16:creationId xmlns:a16="http://schemas.microsoft.com/office/drawing/2014/main" id="{69BF2458-8017-4FAA-B888-B0C782C80015}"/>
                </a:ext>
              </a:extLst>
            </xdr:cNvPr>
            <xdr:cNvSpPr txBox="1"/>
          </xdr:nvSpPr>
          <xdr:spPr>
            <a:xfrm>
              <a:off x="7264998" y="26594696"/>
              <a:ext cx="124521" cy="188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tr-TR" sz="1100" i="0">
                  <a:latin typeface="Cambria Math" panose="02040503050406030204" pitchFamily="18" charset="0"/>
                </a:rPr>
                <a:t>√</a:t>
              </a:r>
              <a:endParaRPr lang="tr-TR" sz="1100"/>
            </a:p>
          </xdr:txBody>
        </xdr:sp>
      </mc:Fallback>
    </mc:AlternateContent>
    <xdr:clientData/>
  </xdr:oneCellAnchor>
  <xdr:twoCellAnchor editAs="oneCell">
    <xdr:from>
      <xdr:col>8</xdr:col>
      <xdr:colOff>89646</xdr:colOff>
      <xdr:row>17</xdr:row>
      <xdr:rowOff>1229932</xdr:rowOff>
    </xdr:from>
    <xdr:to>
      <xdr:col>9</xdr:col>
      <xdr:colOff>1631575</xdr:colOff>
      <xdr:row>17</xdr:row>
      <xdr:rowOff>1749794</xdr:rowOff>
    </xdr:to>
    <xdr:pic>
      <xdr:nvPicPr>
        <xdr:cNvPr id="3" name="Resim 2">
          <a:extLst>
            <a:ext uri="{FF2B5EF4-FFF2-40B4-BE49-F238E27FC236}">
              <a16:creationId xmlns:a16="http://schemas.microsoft.com/office/drawing/2014/main" id="{5F82E7C0-66B3-7892-EA1B-40D9FF3FB375}"/>
            </a:ext>
          </a:extLst>
        </xdr:cNvPr>
        <xdr:cNvPicPr>
          <a:picLocks noChangeAspect="1"/>
        </xdr:cNvPicPr>
      </xdr:nvPicPr>
      <xdr:blipFill>
        <a:blip xmlns:r="http://schemas.openxmlformats.org/officeDocument/2006/relationships" r:embed="rId1"/>
        <a:stretch>
          <a:fillRect/>
        </a:stretch>
      </xdr:blipFill>
      <xdr:spPr>
        <a:xfrm>
          <a:off x="7754470" y="8849932"/>
          <a:ext cx="2483223" cy="519862"/>
        </a:xfrm>
        <a:prstGeom prst="rect">
          <a:avLst/>
        </a:prstGeom>
      </xdr:spPr>
    </xdr:pic>
    <xdr:clientData/>
  </xdr:twoCellAnchor>
  <xdr:twoCellAnchor editAs="oneCell">
    <xdr:from>
      <xdr:col>8</xdr:col>
      <xdr:colOff>80684</xdr:colOff>
      <xdr:row>17</xdr:row>
      <xdr:rowOff>887507</xdr:rowOff>
    </xdr:from>
    <xdr:to>
      <xdr:col>9</xdr:col>
      <xdr:colOff>1721224</xdr:colOff>
      <xdr:row>17</xdr:row>
      <xdr:rowOff>1145690</xdr:rowOff>
    </xdr:to>
    <xdr:pic>
      <xdr:nvPicPr>
        <xdr:cNvPr id="4" name="Resim 3">
          <a:extLst>
            <a:ext uri="{FF2B5EF4-FFF2-40B4-BE49-F238E27FC236}">
              <a16:creationId xmlns:a16="http://schemas.microsoft.com/office/drawing/2014/main" id="{5CA10B8A-868F-231A-1EE3-02F9192FDCBE}"/>
            </a:ext>
          </a:extLst>
        </xdr:cNvPr>
        <xdr:cNvPicPr>
          <a:picLocks noChangeAspect="1"/>
        </xdr:cNvPicPr>
      </xdr:nvPicPr>
      <xdr:blipFill>
        <a:blip xmlns:r="http://schemas.openxmlformats.org/officeDocument/2006/relationships" r:embed="rId2"/>
        <a:stretch>
          <a:fillRect/>
        </a:stretch>
      </xdr:blipFill>
      <xdr:spPr>
        <a:xfrm>
          <a:off x="7745508" y="8507507"/>
          <a:ext cx="2581834" cy="258183"/>
        </a:xfrm>
        <a:prstGeom prst="rect">
          <a:avLst/>
        </a:prstGeom>
      </xdr:spPr>
    </xdr:pic>
    <xdr:clientData/>
  </xdr:twoCellAnchor>
  <xdr:twoCellAnchor editAs="oneCell">
    <xdr:from>
      <xdr:col>8</xdr:col>
      <xdr:colOff>62751</xdr:colOff>
      <xdr:row>24</xdr:row>
      <xdr:rowOff>862378</xdr:rowOff>
    </xdr:from>
    <xdr:to>
      <xdr:col>9</xdr:col>
      <xdr:colOff>1604680</xdr:colOff>
      <xdr:row>24</xdr:row>
      <xdr:rowOff>1382240</xdr:rowOff>
    </xdr:to>
    <xdr:pic>
      <xdr:nvPicPr>
        <xdr:cNvPr id="5" name="Resim 4">
          <a:extLst>
            <a:ext uri="{FF2B5EF4-FFF2-40B4-BE49-F238E27FC236}">
              <a16:creationId xmlns:a16="http://schemas.microsoft.com/office/drawing/2014/main" id="{686376A2-7067-4ED9-A6F1-024198BD3AA6}"/>
            </a:ext>
          </a:extLst>
        </xdr:cNvPr>
        <xdr:cNvPicPr>
          <a:picLocks noChangeAspect="1"/>
        </xdr:cNvPicPr>
      </xdr:nvPicPr>
      <xdr:blipFill>
        <a:blip xmlns:r="http://schemas.openxmlformats.org/officeDocument/2006/relationships" r:embed="rId1"/>
        <a:stretch>
          <a:fillRect/>
        </a:stretch>
      </xdr:blipFill>
      <xdr:spPr>
        <a:xfrm>
          <a:off x="7727575" y="15205907"/>
          <a:ext cx="2483223" cy="519862"/>
        </a:xfrm>
        <a:prstGeom prst="rect">
          <a:avLst/>
        </a:prstGeom>
      </xdr:spPr>
    </xdr:pic>
    <xdr:clientData/>
  </xdr:twoCellAnchor>
  <xdr:twoCellAnchor editAs="oneCell">
    <xdr:from>
      <xdr:col>8</xdr:col>
      <xdr:colOff>53789</xdr:colOff>
      <xdr:row>24</xdr:row>
      <xdr:rowOff>457200</xdr:rowOff>
    </xdr:from>
    <xdr:to>
      <xdr:col>9</xdr:col>
      <xdr:colOff>1694329</xdr:colOff>
      <xdr:row>24</xdr:row>
      <xdr:rowOff>715383</xdr:rowOff>
    </xdr:to>
    <xdr:pic>
      <xdr:nvPicPr>
        <xdr:cNvPr id="6" name="Resim 5">
          <a:extLst>
            <a:ext uri="{FF2B5EF4-FFF2-40B4-BE49-F238E27FC236}">
              <a16:creationId xmlns:a16="http://schemas.microsoft.com/office/drawing/2014/main" id="{7E2A6860-1C0E-4AF8-ACDD-B3076D64A74B}"/>
            </a:ext>
          </a:extLst>
        </xdr:cNvPr>
        <xdr:cNvPicPr>
          <a:picLocks noChangeAspect="1"/>
        </xdr:cNvPicPr>
      </xdr:nvPicPr>
      <xdr:blipFill>
        <a:blip xmlns:r="http://schemas.openxmlformats.org/officeDocument/2006/relationships" r:embed="rId2"/>
        <a:stretch>
          <a:fillRect/>
        </a:stretch>
      </xdr:blipFill>
      <xdr:spPr>
        <a:xfrm>
          <a:off x="7718613" y="14800729"/>
          <a:ext cx="2581834" cy="258183"/>
        </a:xfrm>
        <a:prstGeom prst="rect">
          <a:avLst/>
        </a:prstGeom>
      </xdr:spPr>
    </xdr:pic>
    <xdr:clientData/>
  </xdr:twoCellAnchor>
  <xdr:twoCellAnchor editAs="oneCell">
    <xdr:from>
      <xdr:col>7</xdr:col>
      <xdr:colOff>717177</xdr:colOff>
      <xdr:row>33</xdr:row>
      <xdr:rowOff>256275</xdr:rowOff>
    </xdr:from>
    <xdr:to>
      <xdr:col>9</xdr:col>
      <xdr:colOff>3038521</xdr:colOff>
      <xdr:row>34</xdr:row>
      <xdr:rowOff>80684</xdr:rowOff>
    </xdr:to>
    <xdr:pic>
      <xdr:nvPicPr>
        <xdr:cNvPr id="7" name="Resim 6">
          <a:extLst>
            <a:ext uri="{FF2B5EF4-FFF2-40B4-BE49-F238E27FC236}">
              <a16:creationId xmlns:a16="http://schemas.microsoft.com/office/drawing/2014/main" id="{83B7D598-46C2-32CA-501F-3BE5BF5ABA87}"/>
            </a:ext>
          </a:extLst>
        </xdr:cNvPr>
        <xdr:cNvPicPr>
          <a:picLocks noChangeAspect="1"/>
        </xdr:cNvPicPr>
      </xdr:nvPicPr>
      <xdr:blipFill>
        <a:blip xmlns:r="http://schemas.openxmlformats.org/officeDocument/2006/relationships" r:embed="rId3"/>
        <a:stretch>
          <a:fillRect/>
        </a:stretch>
      </xdr:blipFill>
      <xdr:spPr>
        <a:xfrm>
          <a:off x="7655859" y="19342134"/>
          <a:ext cx="3988780" cy="649162"/>
        </a:xfrm>
        <a:prstGeom prst="rect">
          <a:avLst/>
        </a:prstGeom>
      </xdr:spPr>
    </xdr:pic>
    <xdr:clientData/>
  </xdr:twoCellAnchor>
  <xdr:oneCellAnchor>
    <xdr:from>
      <xdr:col>8</xdr:col>
      <xdr:colOff>71716</xdr:colOff>
      <xdr:row>30</xdr:row>
      <xdr:rowOff>1050639</xdr:rowOff>
    </xdr:from>
    <xdr:ext cx="2483223" cy="519862"/>
    <xdr:pic>
      <xdr:nvPicPr>
        <xdr:cNvPr id="8" name="Resim 7">
          <a:extLst>
            <a:ext uri="{FF2B5EF4-FFF2-40B4-BE49-F238E27FC236}">
              <a16:creationId xmlns:a16="http://schemas.microsoft.com/office/drawing/2014/main" id="{E40096BC-08E6-4B71-803B-BFC4EA144531}"/>
            </a:ext>
          </a:extLst>
        </xdr:cNvPr>
        <xdr:cNvPicPr>
          <a:picLocks noChangeAspect="1"/>
        </xdr:cNvPicPr>
      </xdr:nvPicPr>
      <xdr:blipFill>
        <a:blip xmlns:r="http://schemas.openxmlformats.org/officeDocument/2006/relationships" r:embed="rId1"/>
        <a:stretch>
          <a:fillRect/>
        </a:stretch>
      </xdr:blipFill>
      <xdr:spPr>
        <a:xfrm>
          <a:off x="7736540" y="18818686"/>
          <a:ext cx="2483223" cy="519862"/>
        </a:xfrm>
        <a:prstGeom prst="rect">
          <a:avLst/>
        </a:prstGeom>
      </xdr:spPr>
    </xdr:pic>
    <xdr:clientData/>
  </xdr:oneCellAnchor>
  <xdr:oneCellAnchor>
    <xdr:from>
      <xdr:col>8</xdr:col>
      <xdr:colOff>62754</xdr:colOff>
      <xdr:row>30</xdr:row>
      <xdr:rowOff>708214</xdr:rowOff>
    </xdr:from>
    <xdr:ext cx="2581834" cy="258183"/>
    <xdr:pic>
      <xdr:nvPicPr>
        <xdr:cNvPr id="9" name="Resim 8">
          <a:extLst>
            <a:ext uri="{FF2B5EF4-FFF2-40B4-BE49-F238E27FC236}">
              <a16:creationId xmlns:a16="http://schemas.microsoft.com/office/drawing/2014/main" id="{498697A0-F6D9-4265-ADDA-173099C40B17}"/>
            </a:ext>
          </a:extLst>
        </xdr:cNvPr>
        <xdr:cNvPicPr>
          <a:picLocks noChangeAspect="1"/>
        </xdr:cNvPicPr>
      </xdr:nvPicPr>
      <xdr:blipFill>
        <a:blip xmlns:r="http://schemas.openxmlformats.org/officeDocument/2006/relationships" r:embed="rId2"/>
        <a:stretch>
          <a:fillRect/>
        </a:stretch>
      </xdr:blipFill>
      <xdr:spPr>
        <a:xfrm>
          <a:off x="7727578" y="18476261"/>
          <a:ext cx="2581834" cy="258183"/>
        </a:xfrm>
        <a:prstGeom prst="rect">
          <a:avLst/>
        </a:prstGeom>
      </xdr:spPr>
    </xdr:pic>
    <xdr:clientData/>
  </xdr:oneCellAnchor>
  <xdr:twoCellAnchor editAs="oneCell">
    <xdr:from>
      <xdr:col>8</xdr:col>
      <xdr:colOff>44822</xdr:colOff>
      <xdr:row>38</xdr:row>
      <xdr:rowOff>294233</xdr:rowOff>
    </xdr:from>
    <xdr:to>
      <xdr:col>9</xdr:col>
      <xdr:colOff>2160494</xdr:colOff>
      <xdr:row>38</xdr:row>
      <xdr:rowOff>1335742</xdr:rowOff>
    </xdr:to>
    <xdr:pic>
      <xdr:nvPicPr>
        <xdr:cNvPr id="10" name="Resim 9">
          <a:extLst>
            <a:ext uri="{FF2B5EF4-FFF2-40B4-BE49-F238E27FC236}">
              <a16:creationId xmlns:a16="http://schemas.microsoft.com/office/drawing/2014/main" id="{5527E3F5-18C9-9240-90D1-79E116966A46}"/>
            </a:ext>
          </a:extLst>
        </xdr:cNvPr>
        <xdr:cNvPicPr>
          <a:picLocks noChangeAspect="1"/>
        </xdr:cNvPicPr>
      </xdr:nvPicPr>
      <xdr:blipFill>
        <a:blip xmlns:r="http://schemas.openxmlformats.org/officeDocument/2006/relationships" r:embed="rId4"/>
        <a:stretch>
          <a:fillRect/>
        </a:stretch>
      </xdr:blipFill>
      <xdr:spPr>
        <a:xfrm>
          <a:off x="7709646" y="23010798"/>
          <a:ext cx="3056966" cy="1041509"/>
        </a:xfrm>
        <a:prstGeom prst="rect">
          <a:avLst/>
        </a:prstGeom>
      </xdr:spPr>
    </xdr:pic>
    <xdr:clientData/>
  </xdr:twoCellAnchor>
  <xdr:twoCellAnchor editAs="oneCell">
    <xdr:from>
      <xdr:col>8</xdr:col>
      <xdr:colOff>26895</xdr:colOff>
      <xdr:row>44</xdr:row>
      <xdr:rowOff>418152</xdr:rowOff>
    </xdr:from>
    <xdr:to>
      <xdr:col>9</xdr:col>
      <xdr:colOff>3774141</xdr:colOff>
      <xdr:row>46</xdr:row>
      <xdr:rowOff>681317</xdr:rowOff>
    </xdr:to>
    <xdr:pic>
      <xdr:nvPicPr>
        <xdr:cNvPr id="11" name="Resim 10">
          <a:extLst>
            <a:ext uri="{FF2B5EF4-FFF2-40B4-BE49-F238E27FC236}">
              <a16:creationId xmlns:a16="http://schemas.microsoft.com/office/drawing/2014/main" id="{F007956D-8272-7F10-BC82-B111468E8D5B}"/>
            </a:ext>
          </a:extLst>
        </xdr:cNvPr>
        <xdr:cNvPicPr>
          <a:picLocks noChangeAspect="1"/>
        </xdr:cNvPicPr>
      </xdr:nvPicPr>
      <xdr:blipFill>
        <a:blip xmlns:r="http://schemas.openxmlformats.org/officeDocument/2006/relationships" r:embed="rId5"/>
        <a:stretch>
          <a:fillRect/>
        </a:stretch>
      </xdr:blipFill>
      <xdr:spPr>
        <a:xfrm>
          <a:off x="7691719" y="27124011"/>
          <a:ext cx="4688540" cy="276431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pageSetUpPr fitToPage="1"/>
  </sheetPr>
  <dimension ref="B1:S87"/>
  <sheetViews>
    <sheetView showGridLines="0" tabSelected="1" zoomScale="85" zoomScaleNormal="85" workbookViewId="0">
      <pane ySplit="6" topLeftCell="A7" activePane="bottomLeft" state="frozen"/>
      <selection pane="bottomLeft" activeCell="C81" sqref="C81:E82"/>
    </sheetView>
  </sheetViews>
  <sheetFormatPr defaultColWidth="9.109375" defaultRowHeight="13.8" x14ac:dyDescent="0.25"/>
  <cols>
    <col min="1" max="1" width="3.44140625" style="1" customWidth="1"/>
    <col min="2" max="2" width="4" style="9" customWidth="1"/>
    <col min="3" max="3" width="5.109375" style="1" customWidth="1"/>
    <col min="4" max="4" width="71.33203125" style="1" customWidth="1"/>
    <col min="5" max="5" width="6.109375" style="1" customWidth="1"/>
    <col min="6" max="6" width="5.44140625" style="1" customWidth="1"/>
    <col min="7" max="7" width="5.5546875" style="11" customWidth="1"/>
    <col min="8" max="8" width="10.5546875" style="11" customWidth="1"/>
    <col min="9" max="9" width="13.6640625" style="63" customWidth="1"/>
    <col min="10" max="10" width="56.109375" style="38" customWidth="1"/>
    <col min="11" max="14" width="5.109375" style="1" customWidth="1"/>
    <col min="15" max="15" width="6.6640625" style="1" customWidth="1"/>
    <col min="16" max="16384" width="9.109375" style="1"/>
  </cols>
  <sheetData>
    <row r="1" spans="2:19" ht="6.75" customHeight="1" x14ac:dyDescent="0.25"/>
    <row r="2" spans="2:19" ht="21" x14ac:dyDescent="0.4">
      <c r="C2" s="16" t="s">
        <v>0</v>
      </c>
      <c r="D2" s="16"/>
      <c r="E2" s="17"/>
      <c r="F2" s="17"/>
      <c r="G2" s="91" t="s">
        <v>36</v>
      </c>
      <c r="H2" s="92"/>
      <c r="I2" s="39" t="s">
        <v>134</v>
      </c>
      <c r="J2" s="40"/>
      <c r="K2" s="17"/>
      <c r="L2" s="17"/>
      <c r="M2" s="17"/>
      <c r="N2" s="17"/>
      <c r="O2" s="18"/>
    </row>
    <row r="3" spans="2:19" ht="21" x14ac:dyDescent="0.4">
      <c r="C3" s="26" t="s">
        <v>138</v>
      </c>
      <c r="D3" s="13"/>
      <c r="E3" s="14"/>
      <c r="F3" s="14"/>
      <c r="G3" s="2" t="s">
        <v>12</v>
      </c>
      <c r="H3" s="2"/>
      <c r="I3" s="46" t="s">
        <v>131</v>
      </c>
      <c r="J3" s="41"/>
      <c r="K3" s="14"/>
      <c r="L3" s="14"/>
      <c r="M3" s="14"/>
      <c r="N3" s="14"/>
      <c r="O3" s="15"/>
    </row>
    <row r="4" spans="2:19" ht="69.599999999999994" customHeight="1" x14ac:dyDescent="0.25">
      <c r="C4" s="97" t="s">
        <v>136</v>
      </c>
      <c r="D4" s="98"/>
      <c r="E4" s="24"/>
      <c r="F4" s="24"/>
      <c r="G4" s="2" t="s">
        <v>35</v>
      </c>
      <c r="H4" s="2"/>
      <c r="I4" s="42" t="s">
        <v>41</v>
      </c>
      <c r="J4" s="41"/>
      <c r="K4" s="119" t="s">
        <v>137</v>
      </c>
      <c r="L4" s="119"/>
      <c r="M4" s="119"/>
      <c r="N4" s="119"/>
      <c r="O4" s="119"/>
    </row>
    <row r="5" spans="2:19" ht="15" customHeight="1" x14ac:dyDescent="0.25">
      <c r="B5" s="108" t="s">
        <v>11</v>
      </c>
      <c r="C5" s="115" t="s">
        <v>8</v>
      </c>
      <c r="D5" s="93" t="s">
        <v>39</v>
      </c>
      <c r="E5" s="117" t="s">
        <v>40</v>
      </c>
      <c r="F5" s="93" t="s">
        <v>37</v>
      </c>
      <c r="G5" s="113" t="s">
        <v>7</v>
      </c>
      <c r="H5" s="113" t="s">
        <v>34</v>
      </c>
      <c r="I5" s="109" t="s">
        <v>1</v>
      </c>
      <c r="J5" s="110"/>
      <c r="K5" s="122" t="s">
        <v>2</v>
      </c>
      <c r="L5" s="123"/>
      <c r="M5" s="123"/>
      <c r="N5" s="124"/>
      <c r="O5" s="3" t="s">
        <v>9</v>
      </c>
    </row>
    <row r="6" spans="2:19" ht="15" customHeight="1" x14ac:dyDescent="0.25">
      <c r="B6" s="108"/>
      <c r="C6" s="116"/>
      <c r="D6" s="94"/>
      <c r="E6" s="118"/>
      <c r="F6" s="94"/>
      <c r="G6" s="114"/>
      <c r="H6" s="114"/>
      <c r="I6" s="111"/>
      <c r="J6" s="112"/>
      <c r="K6" s="4" t="s">
        <v>3</v>
      </c>
      <c r="L6" s="4" t="s">
        <v>4</v>
      </c>
      <c r="M6" s="4" t="s">
        <v>5</v>
      </c>
      <c r="N6" s="4" t="s">
        <v>6</v>
      </c>
      <c r="O6" s="5" t="s">
        <v>10</v>
      </c>
      <c r="S6" s="23"/>
    </row>
    <row r="7" spans="2:19" ht="40.950000000000003" customHeight="1" x14ac:dyDescent="0.25">
      <c r="B7" s="10">
        <v>1</v>
      </c>
      <c r="C7" s="6">
        <v>1</v>
      </c>
      <c r="D7" s="62" t="str">
        <f>I2&amp; " süreci;"&amp; "girdi prosesleri, girdileri, çıktıları, çıktı prosesleri, işlemleri, işlemlerin yürütülme şekli, organizasyonu, altyapısı, riskleri, olası değişiklikleri, iyileştirme için performans parametreleri tanımlanmış mıdır? DOKÜMANTE BİLGİ (4.4.1)"</f>
        <v>D06 Kalite Kontrol  süreci;girdi prosesleri, girdileri, çıktıları, çıktı prosesleri, işlemleri, işlemlerin yürütülme şekli, organizasyonu, altyapısı, riskleri, olası değişiklikleri, iyileştirme için performans parametreleri tanımlanmış mıdır? DOKÜMANTE BİLGİ (4.4.1)</v>
      </c>
      <c r="E7" s="7"/>
      <c r="F7" s="22"/>
      <c r="G7" s="12" t="s">
        <v>13</v>
      </c>
      <c r="H7" s="21" t="str">
        <f t="shared" ref="H7:H12" si="0">$I$4</f>
        <v>Kalite Sistem Yöneticisi</v>
      </c>
      <c r="I7" s="103" t="s">
        <v>140</v>
      </c>
      <c r="J7" s="104"/>
      <c r="K7" s="47" t="s">
        <v>85</v>
      </c>
      <c r="L7" s="8"/>
      <c r="M7" s="8"/>
      <c r="N7" s="8"/>
      <c r="O7" s="8"/>
    </row>
    <row r="8" spans="2:19" ht="46.2" customHeight="1" x14ac:dyDescent="0.25">
      <c r="B8" s="9">
        <v>1</v>
      </c>
      <c r="C8" s="6">
        <v>2</v>
      </c>
      <c r="D8" s="7" t="str">
        <f>I2&amp; " süreci;"&amp; " için risk ve fırsatları belirleme faaliyetleri gerçekleştirilmekte midir?"</f>
        <v>D06 Kalite Kontrol  süreci; için risk ve fırsatları belirleme faaliyetleri gerçekleştirilmekte midir?</v>
      </c>
      <c r="E8" s="7"/>
      <c r="F8" s="22"/>
      <c r="G8" s="12" t="s">
        <v>15</v>
      </c>
      <c r="H8" s="21" t="str">
        <f t="shared" si="0"/>
        <v>Kalite Sistem Yöneticisi</v>
      </c>
      <c r="I8" s="103" t="s">
        <v>139</v>
      </c>
      <c r="J8" s="104"/>
      <c r="K8" s="47" t="s">
        <v>85</v>
      </c>
      <c r="L8" s="8"/>
      <c r="M8" s="8"/>
      <c r="N8" s="8"/>
      <c r="O8" s="8"/>
    </row>
    <row r="9" spans="2:19" ht="26.4" x14ac:dyDescent="0.25">
      <c r="B9" s="9">
        <v>1</v>
      </c>
      <c r="C9" s="6">
        <v>3</v>
      </c>
      <c r="D9" s="7" t="str">
        <f>I2&amp; " süreci;"&amp; " için amaçlar ve bu amaçlara ulaşmak için aksiyonlar belirlenmiş midir? DOKÜMANTE BİLGİ (6.2.1)"</f>
        <v>D06 Kalite Kontrol  süreci; için amaçlar ve bu amaçlara ulaşmak için aksiyonlar belirlenmiş midir? DOKÜMANTE BİLGİ (6.2.1)</v>
      </c>
      <c r="E9" s="7"/>
      <c r="F9" s="22"/>
      <c r="G9" s="12" t="s">
        <v>14</v>
      </c>
      <c r="H9" s="21" t="str">
        <f t="shared" si="0"/>
        <v>Kalite Sistem Yöneticisi</v>
      </c>
      <c r="I9" s="103" t="s">
        <v>141</v>
      </c>
      <c r="J9" s="104"/>
      <c r="K9" s="47" t="s">
        <v>85</v>
      </c>
      <c r="L9" s="8"/>
      <c r="M9" s="8"/>
      <c r="N9" s="8"/>
      <c r="O9" s="8"/>
    </row>
    <row r="10" spans="2:19" ht="26.4" customHeight="1" x14ac:dyDescent="0.25">
      <c r="B10" s="9">
        <v>1</v>
      </c>
      <c r="C10" s="6">
        <v>4</v>
      </c>
      <c r="D10" s="7" t="str">
        <f>I2&amp; " süreci;"&amp; " için sistematik olarak değişiklikler belirleniyor mu?"</f>
        <v>D06 Kalite Kontrol  süreci; için sistematik olarak değişiklikler belirleniyor mu?</v>
      </c>
      <c r="E10" s="7"/>
      <c r="F10" s="22"/>
      <c r="G10" s="12" t="s">
        <v>16</v>
      </c>
      <c r="H10" s="21" t="str">
        <f t="shared" si="0"/>
        <v>Kalite Sistem Yöneticisi</v>
      </c>
      <c r="I10" s="79" t="s">
        <v>142</v>
      </c>
      <c r="J10" s="80"/>
      <c r="K10" s="47" t="s">
        <v>85</v>
      </c>
      <c r="L10" s="8"/>
      <c r="M10" s="8"/>
      <c r="N10" s="8"/>
      <c r="O10" s="8"/>
    </row>
    <row r="11" spans="2:19" ht="26.4" customHeight="1" x14ac:dyDescent="0.25">
      <c r="B11" s="9">
        <v>1</v>
      </c>
      <c r="C11" s="6">
        <v>5</v>
      </c>
      <c r="D11" s="7" t="str">
        <f>I2&amp; " süreci;"&amp; " etkili bir iletişim planı var mıdır, bu plana göre etkili iletişimler gerçekleştirilmekte midir"</f>
        <v>D06 Kalite Kontrol  süreci; etkili bir iletişim planı var mıdır, bu plana göre etkili iletişimler gerçekleştirilmekte midir</v>
      </c>
      <c r="E11" s="7"/>
      <c r="F11" s="22"/>
      <c r="G11" s="12" t="s">
        <v>21</v>
      </c>
      <c r="H11" s="21" t="str">
        <f t="shared" si="0"/>
        <v>Kalite Sistem Yöneticisi</v>
      </c>
      <c r="I11" s="125" t="s">
        <v>143</v>
      </c>
      <c r="J11" s="126"/>
      <c r="K11" s="47" t="s">
        <v>85</v>
      </c>
      <c r="L11" s="8"/>
      <c r="M11" s="8"/>
      <c r="N11" s="8"/>
      <c r="O11" s="8"/>
    </row>
    <row r="12" spans="2:19" ht="95.4" customHeight="1" x14ac:dyDescent="0.25">
      <c r="B12" s="9">
        <v>1</v>
      </c>
      <c r="C12" s="6">
        <v>6</v>
      </c>
      <c r="D12" s="7" t="str">
        <f>I2&amp; " süreci;"&amp; " iç tetkikleri, iç tetkik posedürüne uygun olarak olarak gerçekleştiriliyor mu, tetkik sonuçları iyileştirme faaliyetleri için girdi olarak kullanılıyor mu? DOKÜMANTE BİLGİ (9.2.2.f)"</f>
        <v>D06 Kalite Kontrol  süreci; iç tetkikleri, iç tetkik posedürüne uygun olarak olarak gerçekleştiriliyor mu, tetkik sonuçları iyileştirme faaliyetleri için girdi olarak kullanılıyor mu? DOKÜMANTE BİLGİ (9.2.2.f)</v>
      </c>
      <c r="E12" s="7"/>
      <c r="F12" s="22"/>
      <c r="G12" s="12" t="s">
        <v>17</v>
      </c>
      <c r="H12" s="21" t="str">
        <f t="shared" si="0"/>
        <v>Kalite Sistem Yöneticisi</v>
      </c>
      <c r="I12" s="127" t="s">
        <v>146</v>
      </c>
      <c r="J12" s="128"/>
      <c r="K12" s="47" t="s">
        <v>85</v>
      </c>
      <c r="L12" s="8"/>
      <c r="M12" s="8"/>
      <c r="N12" s="8"/>
      <c r="O12" s="8"/>
    </row>
    <row r="13" spans="2:19" ht="53.4" customHeight="1" x14ac:dyDescent="0.25">
      <c r="B13" s="9">
        <v>1</v>
      </c>
      <c r="C13" s="6">
        <v>7</v>
      </c>
      <c r="D13" s="7" t="str">
        <f>I2&amp; " süreci "&amp;  "belirlenen aralıklarda gözden geçiriliyor mu? DOKÜMANTE BİLGİ (9.3.3)"</f>
        <v>D06 Kalite Kontrol  süreci belirlenen aralıklarda gözden geçiriliyor mu? DOKÜMANTE BİLGİ (9.3.3)</v>
      </c>
      <c r="E13" s="7"/>
      <c r="F13" s="22"/>
      <c r="G13" s="12" t="s">
        <v>18</v>
      </c>
      <c r="H13" s="21" t="str">
        <f t="shared" ref="H13:H24" si="1">$I$4</f>
        <v>Kalite Sistem Yöneticisi</v>
      </c>
      <c r="I13" s="129" t="s">
        <v>144</v>
      </c>
      <c r="J13" s="102"/>
      <c r="K13" s="47" t="s">
        <v>85</v>
      </c>
      <c r="L13" s="8"/>
      <c r="M13" s="8"/>
      <c r="N13" s="8"/>
      <c r="O13" s="8"/>
    </row>
    <row r="14" spans="2:19" ht="46.2" customHeight="1" x14ac:dyDescent="0.25">
      <c r="B14" s="9">
        <v>1</v>
      </c>
      <c r="C14" s="6">
        <v>8</v>
      </c>
      <c r="D14" s="7" t="str">
        <f>I2&amp; " süreci "&amp; " ile ilgili uygunsuzlar için etkili düzeltici faaliyetler gerçekleştiriliyor mu? DOKÜMANTE BİLGİ (10.2.2)"</f>
        <v>D06 Kalite Kontrol  süreci  ile ilgili uygunsuzlar için etkili düzeltici faaliyetler gerçekleştiriliyor mu? DOKÜMANTE BİLGİ (10.2.2)</v>
      </c>
      <c r="E14" s="7"/>
      <c r="F14" s="22"/>
      <c r="G14" s="12" t="s">
        <v>19</v>
      </c>
      <c r="H14" s="21" t="str">
        <f t="shared" si="1"/>
        <v>Kalite Sistem Yöneticisi</v>
      </c>
      <c r="I14" s="101" t="s">
        <v>145</v>
      </c>
      <c r="J14" s="102"/>
      <c r="K14" s="47" t="s">
        <v>85</v>
      </c>
      <c r="L14" s="8"/>
      <c r="M14" s="8"/>
      <c r="N14" s="8"/>
      <c r="O14" s="8"/>
    </row>
    <row r="15" spans="2:19" ht="39.6" customHeight="1" x14ac:dyDescent="0.25">
      <c r="B15" s="9">
        <v>1</v>
      </c>
      <c r="C15" s="6">
        <v>9</v>
      </c>
      <c r="D15" s="7" t="str">
        <f>I2&amp; " süreci, "&amp;  "analiz ve değerlendirmenin sonuçlarını, yönetimin gözden geçirmesi çıktılarını iyileştirme faaliyetlerini belirlemek için kullanmakta mıdır?"</f>
        <v>D06 Kalite Kontrol  süreci, analiz ve değerlendirmenin sonuçlarını, yönetimin gözden geçirmesi çıktılarını iyileştirme faaliyetlerini belirlemek için kullanmakta mıdır?</v>
      </c>
      <c r="E15" s="7"/>
      <c r="F15" s="22"/>
      <c r="G15" s="12" t="s">
        <v>20</v>
      </c>
      <c r="H15" s="21" t="str">
        <f t="shared" si="1"/>
        <v>Kalite Sistem Yöneticisi</v>
      </c>
      <c r="I15" s="130" t="s">
        <v>132</v>
      </c>
      <c r="J15" s="121"/>
      <c r="K15" s="47" t="s">
        <v>85</v>
      </c>
      <c r="L15" s="8"/>
      <c r="M15" s="8"/>
      <c r="N15" s="8"/>
      <c r="O15" s="8"/>
    </row>
    <row r="16" spans="2:19" ht="26.4" customHeight="1" x14ac:dyDescent="0.25">
      <c r="B16" s="9">
        <v>2</v>
      </c>
      <c r="C16" s="6">
        <v>10</v>
      </c>
      <c r="D16" s="7" t="str">
        <f>I2&amp; " sürecinin; "&amp;  "altyapısı için ihtiyaçları belirlenmiş, sağlanmış mıdır, prosese ait altyapının bakımları gerçekleştirilmekte midir?"</f>
        <v>D06 Kalite Kontrol  sürecinin; altyapısı için ihtiyaçları belirlenmiş, sağlanmış mıdır, prosese ait altyapının bakımları gerçekleştirilmekte midir?</v>
      </c>
      <c r="E16" s="7"/>
      <c r="F16" s="22"/>
      <c r="G16" s="12" t="s">
        <v>22</v>
      </c>
      <c r="H16" s="21" t="str">
        <f t="shared" si="1"/>
        <v>Kalite Sistem Yöneticisi</v>
      </c>
      <c r="I16" s="105" t="s">
        <v>129</v>
      </c>
      <c r="J16" s="104"/>
      <c r="K16" s="47" t="s">
        <v>85</v>
      </c>
      <c r="L16" s="8"/>
      <c r="M16" s="8"/>
      <c r="N16" s="8"/>
      <c r="O16" s="8"/>
    </row>
    <row r="17" spans="2:15" ht="26.4" x14ac:dyDescent="0.25">
      <c r="B17" s="9">
        <v>2</v>
      </c>
      <c r="C17" s="6">
        <v>11</v>
      </c>
      <c r="D17" s="7" t="str">
        <f>I2&amp; " sürecinin; "&amp; "çalışmalarını etkin şekilde yürütmesi için çevre şartları sağlanmış mıdır?"</f>
        <v>D06 Kalite Kontrol  sürecinin; çalışmalarını etkin şekilde yürütmesi için çevre şartları sağlanmış mıdır?</v>
      </c>
      <c r="E17" s="7"/>
      <c r="F17" s="22"/>
      <c r="G17" s="12" t="s">
        <v>23</v>
      </c>
      <c r="H17" s="21" t="str">
        <f t="shared" si="1"/>
        <v>Kalite Sistem Yöneticisi</v>
      </c>
      <c r="I17" s="105" t="s">
        <v>129</v>
      </c>
      <c r="J17" s="104"/>
      <c r="K17" s="47" t="s">
        <v>85</v>
      </c>
      <c r="L17" s="8"/>
      <c r="M17" s="8"/>
      <c r="N17" s="43"/>
      <c r="O17" s="8"/>
    </row>
    <row r="18" spans="2:15" ht="144" customHeight="1" x14ac:dyDescent="0.25">
      <c r="B18" s="9">
        <v>2</v>
      </c>
      <c r="C18" s="6">
        <v>12</v>
      </c>
      <c r="D18" s="7" t="str">
        <f>I2&amp; " sürecinin "&amp; "amaca uygun izleme ve ölçme ekipmanlarını kullanıyor, bunları tanımlıyor, izlenebilirliğini sağlıyor mu"</f>
        <v>D06 Kalite Kontrol  sürecinin amaca uygun izleme ve ölçme ekipmanlarını kullanıyor, bunları tanımlıyor, izlenebilirliğini sağlıyor mu</v>
      </c>
      <c r="E18" s="7"/>
      <c r="F18" s="22"/>
      <c r="G18" s="12" t="s">
        <v>24</v>
      </c>
      <c r="H18" s="21" t="str">
        <f t="shared" si="1"/>
        <v>Kalite Sistem Yöneticisi</v>
      </c>
      <c r="I18" s="99" t="s">
        <v>147</v>
      </c>
      <c r="J18" s="100"/>
      <c r="K18" s="47" t="s">
        <v>85</v>
      </c>
      <c r="L18" s="8"/>
      <c r="M18" s="8"/>
      <c r="N18" s="8"/>
      <c r="O18" s="8"/>
    </row>
    <row r="19" spans="2:15" ht="73.8" customHeight="1" x14ac:dyDescent="0.25">
      <c r="B19" s="9">
        <v>2</v>
      </c>
      <c r="C19" s="6">
        <v>13</v>
      </c>
      <c r="D19" s="7" t="str">
        <f>I2&amp; " sürecinin "&amp; "ölçme ekipmanlarının uluslararası izlenebilir doğrulama ve kalibrasyon faaliyetlerini gerçekleştiriyor, doğrulama ve kalibrasyon sonuçları ile ilgili gerekli tedbirleri alıyor mu? DOKÜMANTE BİLGİ (7.1.5.1)"</f>
        <v>D06 Kalite Kontrol  sürecinin ölçme ekipmanlarının uluslararası izlenebilir doğrulama ve kalibrasyon faaliyetlerini gerçekleştiriyor, doğrulama ve kalibrasyon sonuçları ile ilgili gerekli tedbirleri alıyor mu? DOKÜMANTE BİLGİ (7.1.5.1)</v>
      </c>
      <c r="E19" s="7"/>
      <c r="F19" s="22"/>
      <c r="G19" s="12" t="s">
        <v>24</v>
      </c>
      <c r="H19" s="21" t="str">
        <f t="shared" si="1"/>
        <v>Kalite Sistem Yöneticisi</v>
      </c>
      <c r="I19" s="120" t="s">
        <v>149</v>
      </c>
      <c r="J19" s="121"/>
      <c r="K19" s="47" t="s">
        <v>85</v>
      </c>
      <c r="L19" s="8"/>
      <c r="M19" s="43"/>
      <c r="N19" s="8"/>
      <c r="O19" s="43"/>
    </row>
    <row r="20" spans="2:15" ht="51" customHeight="1" x14ac:dyDescent="0.25">
      <c r="B20" s="9">
        <v>3</v>
      </c>
      <c r="C20" s="6">
        <v>14</v>
      </c>
      <c r="D20" s="20" t="str">
        <f>I2&amp; " sürecinin "&amp; "organizasyonu kalite politikasını ulaşıyormu ve özünü ifade edebiliyor mu? DOKÜMANTE BİLGİ (5.2.2.a)"</f>
        <v>D06 Kalite Kontrol  sürecinin organizasyonu kalite politikasını ulaşıyormu ve özünü ifade edebiliyor mu? DOKÜMANTE BİLGİ (5.2.2.a)</v>
      </c>
      <c r="E20" s="20"/>
      <c r="F20" s="22"/>
      <c r="G20" s="12" t="s">
        <v>25</v>
      </c>
      <c r="H20" s="21" t="str">
        <f t="shared" si="1"/>
        <v>Kalite Sistem Yöneticisi</v>
      </c>
      <c r="I20" s="101" t="s">
        <v>148</v>
      </c>
      <c r="J20" s="102"/>
      <c r="K20" s="47" t="s">
        <v>85</v>
      </c>
      <c r="L20" s="8"/>
      <c r="M20" s="8"/>
      <c r="N20" s="8"/>
      <c r="O20" s="8"/>
    </row>
    <row r="21" spans="2:15" ht="39.6" x14ac:dyDescent="0.25">
      <c r="B21" s="9">
        <v>3</v>
      </c>
      <c r="C21" s="6">
        <v>15</v>
      </c>
      <c r="D21" s="20" t="str">
        <f>I2&amp; " sürecinin "&amp; "organizasyonuna ait roller, bu rollere ait görevler yazılı olarak belirlenmiş mi, rol sahipleri bu yazılı görev tanımlarına ulaşıyor ve gereklerini yapıyorlar mı?"</f>
        <v>D06 Kalite Kontrol  sürecinin organizasyonuna ait roller, bu rollere ait görevler yazılı olarak belirlenmiş mi, rol sahipleri bu yazılı görev tanımlarına ulaşıyor ve gereklerini yapıyorlar mı?</v>
      </c>
      <c r="E21" s="20"/>
      <c r="F21" s="22"/>
      <c r="G21" s="12" t="s">
        <v>26</v>
      </c>
      <c r="H21" s="21" t="str">
        <f t="shared" si="1"/>
        <v>Kalite Sistem Yöneticisi</v>
      </c>
      <c r="I21" s="103" t="s">
        <v>150</v>
      </c>
      <c r="J21" s="104"/>
      <c r="K21" s="47" t="s">
        <v>85</v>
      </c>
      <c r="L21" s="8"/>
      <c r="M21" s="8"/>
      <c r="N21" s="8"/>
      <c r="O21" s="8"/>
    </row>
    <row r="22" spans="2:15" ht="68.400000000000006" customHeight="1" x14ac:dyDescent="0.25">
      <c r="B22" s="9">
        <v>3</v>
      </c>
      <c r="C22" s="6">
        <v>16</v>
      </c>
      <c r="D22" s="20" t="str">
        <f>I2&amp; " sürecinin "&amp; "organizasyonu için yeterlilik tanımlarına uygun personel tayin ve tedarik edilmiş midir?"</f>
        <v>D06 Kalite Kontrol  sürecinin organizasyonu için yeterlilik tanımlarına uygun personel tayin ve tedarik edilmiş midir?</v>
      </c>
      <c r="E22" s="20"/>
      <c r="F22" s="22"/>
      <c r="G22" s="12" t="s">
        <v>27</v>
      </c>
      <c r="H22" s="21" t="str">
        <f t="shared" si="1"/>
        <v>Kalite Sistem Yöneticisi</v>
      </c>
      <c r="I22" s="105" t="s">
        <v>151</v>
      </c>
      <c r="J22" s="104"/>
      <c r="K22" s="47" t="s">
        <v>85</v>
      </c>
      <c r="L22" s="8"/>
      <c r="M22" s="8"/>
      <c r="N22" s="8"/>
      <c r="O22" s="8"/>
    </row>
    <row r="23" spans="2:15" ht="69.599999999999994" customHeight="1" x14ac:dyDescent="0.25">
      <c r="B23" s="9">
        <v>3</v>
      </c>
      <c r="C23" s="6">
        <v>17</v>
      </c>
      <c r="D23" s="20" t="str">
        <f>I2&amp; " sürecinin "&amp; "organizasyonunda yer alan roller için yeterlilikler belirlenmiş ve bu yeterliliklerin sağlanması için eğitim vb. faaliyetler gerçekleştiriliyor ve etkinliği değerlendiriliyor mu? DOKÜMANTE BİLGİ (7.2.d)"</f>
        <v>D06 Kalite Kontrol  sürecinin organizasyonunda yer alan roller için yeterlilikler belirlenmiş ve bu yeterliliklerin sağlanması için eğitim vb. faaliyetler gerçekleştiriliyor ve etkinliği değerlendiriliyor mu? DOKÜMANTE BİLGİ (7.2.d)</v>
      </c>
      <c r="E23" s="20"/>
      <c r="F23" s="22"/>
      <c r="G23" s="12" t="s">
        <v>28</v>
      </c>
      <c r="H23" s="21" t="str">
        <f t="shared" si="1"/>
        <v>Kalite Sistem Yöneticisi</v>
      </c>
      <c r="I23" s="105" t="s">
        <v>152</v>
      </c>
      <c r="J23" s="104"/>
      <c r="K23" s="47" t="s">
        <v>85</v>
      </c>
      <c r="L23" s="8"/>
      <c r="M23" s="8"/>
      <c r="N23" s="43"/>
      <c r="O23" s="8"/>
    </row>
    <row r="24" spans="2:15" ht="82.8" customHeight="1" x14ac:dyDescent="0.25">
      <c r="B24" s="9">
        <v>3</v>
      </c>
      <c r="C24" s="6">
        <v>18</v>
      </c>
      <c r="D24" s="20" t="str">
        <f>I2&amp; " sürecinin "&amp; "organizasyonunda görev alan personelin, amaçlara ulaşmak veya amaçlardan sapma konularında farkındalıkları yeterli midir?"</f>
        <v>D06 Kalite Kontrol  sürecinin organizasyonunda görev alan personelin, amaçlara ulaşmak veya amaçlardan sapma konularında farkındalıkları yeterli midir?</v>
      </c>
      <c r="E24" s="20"/>
      <c r="F24" s="22"/>
      <c r="G24" s="12" t="s">
        <v>29</v>
      </c>
      <c r="H24" s="21" t="str">
        <f t="shared" si="1"/>
        <v>Kalite Sistem Yöneticisi</v>
      </c>
      <c r="I24" s="105" t="s">
        <v>152</v>
      </c>
      <c r="J24" s="104"/>
      <c r="K24" s="47" t="s">
        <v>85</v>
      </c>
      <c r="L24" s="8"/>
      <c r="M24" s="8"/>
      <c r="N24" s="8"/>
      <c r="O24" s="8"/>
    </row>
    <row r="25" spans="2:15" s="73" customFormat="1" ht="111" customHeight="1" x14ac:dyDescent="0.25">
      <c r="B25" s="19"/>
      <c r="C25" s="6">
        <v>19</v>
      </c>
      <c r="D25" s="20" t="s">
        <v>94</v>
      </c>
      <c r="E25" s="20">
        <v>1</v>
      </c>
      <c r="F25" s="28"/>
      <c r="G25" s="64" t="s">
        <v>93</v>
      </c>
      <c r="H25" s="70" t="s">
        <v>41</v>
      </c>
      <c r="I25" s="106" t="s">
        <v>153</v>
      </c>
      <c r="J25" s="107"/>
      <c r="K25" s="71" t="s">
        <v>85</v>
      </c>
      <c r="L25" s="72"/>
      <c r="M25" s="72"/>
      <c r="N25" s="72"/>
      <c r="O25" s="72"/>
    </row>
    <row r="26" spans="2:15" s="73" customFormat="1" ht="26.4" customHeight="1" x14ac:dyDescent="0.25">
      <c r="B26" s="19"/>
      <c r="C26" s="6">
        <v>20</v>
      </c>
      <c r="D26" s="20" t="s">
        <v>95</v>
      </c>
      <c r="E26" s="20">
        <v>2</v>
      </c>
      <c r="F26" s="28"/>
      <c r="G26" s="64" t="s">
        <v>96</v>
      </c>
      <c r="H26" s="70" t="s">
        <v>41</v>
      </c>
      <c r="I26" s="120" t="s">
        <v>154</v>
      </c>
      <c r="J26" s="121"/>
      <c r="K26" s="71" t="s">
        <v>85</v>
      </c>
      <c r="L26" s="72"/>
      <c r="M26" s="72"/>
      <c r="N26" s="72"/>
      <c r="O26" s="72"/>
    </row>
    <row r="27" spans="2:15" s="73" customFormat="1" ht="37.200000000000003" customHeight="1" x14ac:dyDescent="0.25">
      <c r="B27" s="19"/>
      <c r="C27" s="6">
        <v>21</v>
      </c>
      <c r="D27" s="20" t="s">
        <v>97</v>
      </c>
      <c r="E27" s="20">
        <v>3</v>
      </c>
      <c r="F27" s="28"/>
      <c r="G27" s="64" t="s">
        <v>93</v>
      </c>
      <c r="H27" s="70" t="s">
        <v>41</v>
      </c>
      <c r="I27" s="120" t="s">
        <v>156</v>
      </c>
      <c r="J27" s="121"/>
      <c r="K27" s="71" t="s">
        <v>85</v>
      </c>
      <c r="L27" s="72"/>
      <c r="M27" s="72"/>
      <c r="N27" s="72"/>
      <c r="O27" s="72"/>
    </row>
    <row r="28" spans="2:15" s="73" customFormat="1" ht="43.2" customHeight="1" x14ac:dyDescent="0.25">
      <c r="B28" s="19"/>
      <c r="C28" s="6">
        <v>22</v>
      </c>
      <c r="D28" s="20" t="s">
        <v>98</v>
      </c>
      <c r="E28" s="20">
        <v>4</v>
      </c>
      <c r="F28" s="28"/>
      <c r="G28" s="64" t="s">
        <v>93</v>
      </c>
      <c r="H28" s="70" t="s">
        <v>41</v>
      </c>
      <c r="I28" s="120" t="s">
        <v>157</v>
      </c>
      <c r="J28" s="121"/>
      <c r="K28" s="71" t="s">
        <v>85</v>
      </c>
      <c r="L28" s="72"/>
      <c r="M28" s="72"/>
      <c r="N28" s="72"/>
      <c r="O28" s="72"/>
    </row>
    <row r="29" spans="2:15" s="73" customFormat="1" ht="26.4" customHeight="1" x14ac:dyDescent="0.25">
      <c r="B29" s="19"/>
      <c r="C29" s="6">
        <v>23</v>
      </c>
      <c r="D29" s="20" t="s">
        <v>99</v>
      </c>
      <c r="E29" s="20">
        <v>5</v>
      </c>
      <c r="F29" s="28"/>
      <c r="G29" s="64" t="s">
        <v>93</v>
      </c>
      <c r="H29" s="70" t="s">
        <v>41</v>
      </c>
      <c r="I29" s="120" t="s">
        <v>154</v>
      </c>
      <c r="J29" s="121"/>
      <c r="K29" s="71" t="s">
        <v>85</v>
      </c>
      <c r="L29" s="72"/>
      <c r="M29" s="72"/>
      <c r="N29" s="72"/>
      <c r="O29" s="72"/>
    </row>
    <row r="30" spans="2:15" s="73" customFormat="1" ht="26.4" x14ac:dyDescent="0.25">
      <c r="B30" s="19"/>
      <c r="C30" s="6">
        <v>24</v>
      </c>
      <c r="D30" s="20" t="s">
        <v>100</v>
      </c>
      <c r="E30" s="20">
        <v>4</v>
      </c>
      <c r="F30" s="28"/>
      <c r="G30" s="64" t="s">
        <v>93</v>
      </c>
      <c r="H30" s="70" t="s">
        <v>41</v>
      </c>
      <c r="I30" s="130" t="s">
        <v>133</v>
      </c>
      <c r="J30" s="121"/>
      <c r="K30" s="71" t="s">
        <v>85</v>
      </c>
      <c r="L30" s="72"/>
      <c r="M30" s="72"/>
      <c r="N30" s="72"/>
      <c r="O30" s="72"/>
    </row>
    <row r="31" spans="2:15" s="73" customFormat="1" ht="127.8" customHeight="1" x14ac:dyDescent="0.25">
      <c r="B31" s="19"/>
      <c r="C31" s="6">
        <v>25</v>
      </c>
      <c r="D31" s="20" t="s">
        <v>101</v>
      </c>
      <c r="E31" s="20">
        <v>4</v>
      </c>
      <c r="F31" s="28"/>
      <c r="G31" s="64" t="s">
        <v>93</v>
      </c>
      <c r="H31" s="70" t="s">
        <v>41</v>
      </c>
      <c r="I31" s="99" t="s">
        <v>147</v>
      </c>
      <c r="J31" s="100"/>
      <c r="K31" s="71" t="s">
        <v>85</v>
      </c>
      <c r="L31" s="72"/>
      <c r="M31" s="72"/>
      <c r="N31" s="72"/>
      <c r="O31" s="72"/>
    </row>
    <row r="32" spans="2:15" s="73" customFormat="1" ht="33.75" customHeight="1" x14ac:dyDescent="0.25">
      <c r="B32" s="19"/>
      <c r="C32" s="6">
        <v>26</v>
      </c>
      <c r="D32" s="20" t="s">
        <v>102</v>
      </c>
      <c r="E32" s="20">
        <v>4</v>
      </c>
      <c r="F32" s="28"/>
      <c r="G32" s="64" t="s">
        <v>96</v>
      </c>
      <c r="H32" s="70" t="s">
        <v>41</v>
      </c>
      <c r="I32" s="127" t="s">
        <v>162</v>
      </c>
      <c r="J32" s="102"/>
      <c r="K32" s="71" t="s">
        <v>85</v>
      </c>
      <c r="L32" s="72"/>
      <c r="M32" s="72"/>
      <c r="N32" s="72"/>
      <c r="O32" s="72"/>
    </row>
    <row r="33" spans="2:15" s="73" customFormat="1" ht="38.25" customHeight="1" x14ac:dyDescent="0.25">
      <c r="B33" s="19"/>
      <c r="C33" s="6">
        <v>27</v>
      </c>
      <c r="D33" s="20" t="s">
        <v>103</v>
      </c>
      <c r="E33" s="20">
        <v>4</v>
      </c>
      <c r="F33" s="28"/>
      <c r="G33" s="64" t="s">
        <v>96</v>
      </c>
      <c r="H33" s="70" t="s">
        <v>41</v>
      </c>
      <c r="I33" s="129" t="s">
        <v>158</v>
      </c>
      <c r="J33" s="128"/>
      <c r="K33" s="71" t="s">
        <v>85</v>
      </c>
      <c r="L33" s="72"/>
      <c r="M33" s="72"/>
      <c r="N33" s="72"/>
      <c r="O33" s="72"/>
    </row>
    <row r="34" spans="2:15" s="73" customFormat="1" ht="64.95" customHeight="1" x14ac:dyDescent="0.25">
      <c r="B34" s="19"/>
      <c r="C34" s="6">
        <v>28</v>
      </c>
      <c r="D34" s="20" t="s">
        <v>104</v>
      </c>
      <c r="E34" s="20">
        <v>5</v>
      </c>
      <c r="F34" s="28"/>
      <c r="G34" s="64" t="s">
        <v>96</v>
      </c>
      <c r="H34" s="70" t="s">
        <v>41</v>
      </c>
      <c r="I34" s="134" t="s">
        <v>161</v>
      </c>
      <c r="J34" s="135"/>
      <c r="K34" s="71" t="s">
        <v>85</v>
      </c>
      <c r="L34" s="72"/>
      <c r="M34" s="72"/>
      <c r="N34" s="72"/>
      <c r="O34" s="72"/>
    </row>
    <row r="35" spans="2:15" s="73" customFormat="1" ht="26.4" x14ac:dyDescent="0.25">
      <c r="B35" s="19"/>
      <c r="C35" s="6">
        <v>29</v>
      </c>
      <c r="D35" s="20" t="s">
        <v>105</v>
      </c>
      <c r="E35" s="20">
        <v>4</v>
      </c>
      <c r="F35" s="28"/>
      <c r="G35" s="64" t="s">
        <v>106</v>
      </c>
      <c r="H35" s="70" t="s">
        <v>41</v>
      </c>
      <c r="I35" s="131" t="s">
        <v>155</v>
      </c>
      <c r="J35" s="132"/>
      <c r="K35" s="71" t="s">
        <v>85</v>
      </c>
      <c r="L35" s="72"/>
      <c r="M35" s="72"/>
      <c r="N35" s="72"/>
      <c r="O35" s="72"/>
    </row>
    <row r="36" spans="2:15" s="73" customFormat="1" ht="26.4" x14ac:dyDescent="0.25">
      <c r="B36" s="19"/>
      <c r="C36" s="6">
        <v>30</v>
      </c>
      <c r="D36" s="20" t="s">
        <v>107</v>
      </c>
      <c r="E36" s="20"/>
      <c r="F36" s="28"/>
      <c r="G36" s="64" t="s">
        <v>106</v>
      </c>
      <c r="H36" s="70" t="s">
        <v>41</v>
      </c>
      <c r="I36" s="133" t="s">
        <v>159</v>
      </c>
      <c r="J36" s="132"/>
      <c r="K36" s="71" t="s">
        <v>85</v>
      </c>
      <c r="L36" s="72"/>
      <c r="M36" s="72"/>
      <c r="N36" s="72"/>
      <c r="O36" s="72"/>
    </row>
    <row r="37" spans="2:15" s="73" customFormat="1" ht="26.4" x14ac:dyDescent="0.25">
      <c r="B37" s="19"/>
      <c r="C37" s="6">
        <v>31</v>
      </c>
      <c r="D37" s="20" t="s">
        <v>108</v>
      </c>
      <c r="E37" s="20"/>
      <c r="F37" s="28"/>
      <c r="G37" s="64" t="s">
        <v>96</v>
      </c>
      <c r="H37" s="70" t="s">
        <v>41</v>
      </c>
      <c r="I37" s="133" t="s">
        <v>160</v>
      </c>
      <c r="J37" s="132"/>
      <c r="K37" s="71" t="s">
        <v>85</v>
      </c>
      <c r="L37" s="72"/>
      <c r="M37" s="72"/>
      <c r="N37" s="72"/>
      <c r="O37" s="72"/>
    </row>
    <row r="38" spans="2:15" s="73" customFormat="1" ht="46.8" customHeight="1" x14ac:dyDescent="0.25">
      <c r="B38" s="19"/>
      <c r="C38" s="6">
        <v>32</v>
      </c>
      <c r="D38" s="20" t="s">
        <v>109</v>
      </c>
      <c r="E38" s="20"/>
      <c r="F38" s="28"/>
      <c r="G38" s="64" t="s">
        <v>96</v>
      </c>
      <c r="H38" s="70" t="s">
        <v>41</v>
      </c>
      <c r="I38" s="136" t="s">
        <v>163</v>
      </c>
      <c r="J38" s="135"/>
      <c r="K38" s="71" t="s">
        <v>85</v>
      </c>
      <c r="L38" s="72"/>
      <c r="M38" s="72"/>
      <c r="N38" s="72"/>
      <c r="O38" s="72"/>
    </row>
    <row r="39" spans="2:15" s="73" customFormat="1" ht="109.8" customHeight="1" x14ac:dyDescent="0.25">
      <c r="B39" s="19"/>
      <c r="C39" s="6">
        <v>33</v>
      </c>
      <c r="D39" s="20" t="s">
        <v>110</v>
      </c>
      <c r="E39" s="20"/>
      <c r="F39" s="28"/>
      <c r="G39" s="64" t="s">
        <v>96</v>
      </c>
      <c r="H39" s="70" t="s">
        <v>41</v>
      </c>
      <c r="I39" s="136" t="s">
        <v>164</v>
      </c>
      <c r="J39" s="135"/>
      <c r="K39" s="71" t="s">
        <v>85</v>
      </c>
      <c r="L39" s="72"/>
      <c r="M39" s="72"/>
      <c r="N39" s="72"/>
      <c r="O39" s="72"/>
    </row>
    <row r="40" spans="2:15" s="73" customFormat="1" ht="26.4" customHeight="1" x14ac:dyDescent="0.25">
      <c r="B40" s="19"/>
      <c r="C40" s="6">
        <v>34</v>
      </c>
      <c r="D40" s="20" t="s">
        <v>111</v>
      </c>
      <c r="E40" s="20"/>
      <c r="F40" s="28"/>
      <c r="G40" s="64" t="s">
        <v>96</v>
      </c>
      <c r="H40" s="70" t="s">
        <v>41</v>
      </c>
      <c r="I40" s="120" t="s">
        <v>165</v>
      </c>
      <c r="J40" s="121"/>
      <c r="K40" s="71" t="s">
        <v>85</v>
      </c>
      <c r="L40" s="72"/>
      <c r="M40" s="72"/>
      <c r="N40" s="72"/>
      <c r="O40" s="72"/>
    </row>
    <row r="41" spans="2:15" ht="15" x14ac:dyDescent="0.25">
      <c r="B41" s="9">
        <v>4</v>
      </c>
      <c r="C41" s="6">
        <v>35</v>
      </c>
      <c r="D41" s="27" t="s">
        <v>46</v>
      </c>
      <c r="E41" s="28"/>
      <c r="F41" s="28"/>
      <c r="G41" s="29" t="s">
        <v>80</v>
      </c>
      <c r="H41" s="30" t="s">
        <v>45</v>
      </c>
      <c r="I41" s="105" t="s">
        <v>83</v>
      </c>
      <c r="J41" s="104"/>
      <c r="K41" s="47" t="s">
        <v>85</v>
      </c>
      <c r="L41" s="8"/>
      <c r="M41" s="8"/>
      <c r="N41" s="8"/>
      <c r="O41" s="8"/>
    </row>
    <row r="42" spans="2:15" ht="42" x14ac:dyDescent="0.25">
      <c r="B42" s="9">
        <v>4</v>
      </c>
      <c r="C42" s="6">
        <v>36</v>
      </c>
      <c r="D42" s="31" t="s">
        <v>47</v>
      </c>
      <c r="E42" s="28"/>
      <c r="F42" s="28"/>
      <c r="G42" s="32" t="s">
        <v>80</v>
      </c>
      <c r="H42" s="30" t="s">
        <v>49</v>
      </c>
      <c r="I42" s="103" t="s">
        <v>166</v>
      </c>
      <c r="J42" s="104"/>
      <c r="K42" s="47" t="s">
        <v>85</v>
      </c>
      <c r="L42" s="8"/>
      <c r="M42" s="43"/>
      <c r="N42" s="8"/>
      <c r="O42" s="44"/>
    </row>
    <row r="43" spans="2:15" ht="61.8" customHeight="1" x14ac:dyDescent="0.25">
      <c r="B43" s="19">
        <v>4</v>
      </c>
      <c r="C43" s="6">
        <v>37</v>
      </c>
      <c r="D43" s="27" t="s">
        <v>54</v>
      </c>
      <c r="E43" s="28"/>
      <c r="F43" s="28"/>
      <c r="G43" s="33" t="s">
        <v>55</v>
      </c>
      <c r="H43" s="34" t="s">
        <v>53</v>
      </c>
      <c r="I43" s="103" t="s">
        <v>167</v>
      </c>
      <c r="J43" s="104"/>
      <c r="K43" s="47" t="s">
        <v>85</v>
      </c>
      <c r="L43" s="8"/>
      <c r="M43" s="43"/>
      <c r="N43" s="8"/>
      <c r="O43" s="43"/>
    </row>
    <row r="44" spans="2:15" ht="58.95" customHeight="1" x14ac:dyDescent="0.25">
      <c r="B44" s="19">
        <v>4</v>
      </c>
      <c r="C44" s="6">
        <v>38</v>
      </c>
      <c r="D44" s="27" t="s">
        <v>56</v>
      </c>
      <c r="E44" s="28"/>
      <c r="F44" s="28"/>
      <c r="G44" s="33" t="s">
        <v>55</v>
      </c>
      <c r="H44" s="34" t="s">
        <v>57</v>
      </c>
      <c r="I44" s="103" t="s">
        <v>167</v>
      </c>
      <c r="J44" s="104"/>
      <c r="K44" s="47" t="s">
        <v>85</v>
      </c>
      <c r="L44" s="8"/>
      <c r="M44" s="8"/>
      <c r="N44" s="8"/>
      <c r="O44" s="8"/>
    </row>
    <row r="45" spans="2:15" ht="135" customHeight="1" x14ac:dyDescent="0.25">
      <c r="B45" s="19">
        <v>4</v>
      </c>
      <c r="C45" s="6">
        <v>39</v>
      </c>
      <c r="D45" s="31" t="s">
        <v>42</v>
      </c>
      <c r="E45" s="28"/>
      <c r="F45" s="28"/>
      <c r="G45" s="32" t="s">
        <v>44</v>
      </c>
      <c r="H45" s="30" t="s">
        <v>43</v>
      </c>
      <c r="I45" s="136" t="s">
        <v>168</v>
      </c>
      <c r="J45" s="135"/>
      <c r="K45" s="47" t="s">
        <v>85</v>
      </c>
      <c r="L45" s="8"/>
      <c r="M45" s="8"/>
      <c r="N45" s="8"/>
      <c r="O45" s="8"/>
    </row>
    <row r="46" spans="2:15" ht="61.95" customHeight="1" x14ac:dyDescent="0.25">
      <c r="B46" s="19">
        <v>4</v>
      </c>
      <c r="C46" s="6">
        <v>40</v>
      </c>
      <c r="D46" s="27" t="s">
        <v>50</v>
      </c>
      <c r="E46" s="28"/>
      <c r="F46" s="28"/>
      <c r="G46" s="32" t="s">
        <v>44</v>
      </c>
      <c r="H46" s="30" t="s">
        <v>45</v>
      </c>
      <c r="I46" s="95"/>
      <c r="J46" s="96"/>
      <c r="K46" s="47" t="s">
        <v>85</v>
      </c>
      <c r="L46" s="8"/>
      <c r="M46" s="8"/>
      <c r="N46" s="8"/>
      <c r="O46" s="8"/>
    </row>
    <row r="47" spans="2:15" ht="57" customHeight="1" x14ac:dyDescent="0.25">
      <c r="B47" s="19">
        <v>4</v>
      </c>
      <c r="C47" s="6">
        <v>41</v>
      </c>
      <c r="D47" s="31" t="s">
        <v>51</v>
      </c>
      <c r="E47" s="28"/>
      <c r="F47" s="28"/>
      <c r="G47" s="32" t="s">
        <v>44</v>
      </c>
      <c r="H47" s="34" t="s">
        <v>52</v>
      </c>
      <c r="I47" s="95"/>
      <c r="J47" s="96"/>
      <c r="K47" s="47" t="s">
        <v>85</v>
      </c>
      <c r="L47" s="8"/>
      <c r="M47" s="8"/>
      <c r="N47" s="8"/>
      <c r="O47" s="8"/>
    </row>
    <row r="48" spans="2:15" ht="33.6" x14ac:dyDescent="0.25">
      <c r="B48" s="19"/>
      <c r="C48" s="6">
        <v>42</v>
      </c>
      <c r="D48" s="27" t="s">
        <v>70</v>
      </c>
      <c r="E48" s="28"/>
      <c r="F48" s="28"/>
      <c r="G48" s="33" t="s">
        <v>48</v>
      </c>
      <c r="H48" s="34" t="s">
        <v>58</v>
      </c>
      <c r="I48" s="131" t="s">
        <v>166</v>
      </c>
      <c r="J48" s="132"/>
      <c r="K48" s="47" t="s">
        <v>85</v>
      </c>
      <c r="L48" s="8"/>
      <c r="M48" s="43"/>
      <c r="N48" s="43"/>
      <c r="O48" s="43"/>
    </row>
    <row r="49" spans="2:15" ht="58.8" x14ac:dyDescent="0.25">
      <c r="B49" s="19"/>
      <c r="C49" s="6">
        <v>43</v>
      </c>
      <c r="D49" s="27" t="s">
        <v>59</v>
      </c>
      <c r="E49" s="28"/>
      <c r="F49" s="28"/>
      <c r="G49" s="33" t="s">
        <v>48</v>
      </c>
      <c r="H49" s="34" t="s">
        <v>60</v>
      </c>
      <c r="I49" s="131" t="s">
        <v>169</v>
      </c>
      <c r="J49" s="132"/>
      <c r="K49" s="47" t="s">
        <v>85</v>
      </c>
      <c r="L49" s="8"/>
      <c r="M49" s="8"/>
      <c r="N49" s="43"/>
      <c r="O49" s="8"/>
    </row>
    <row r="50" spans="2:15" ht="33.6" x14ac:dyDescent="0.25">
      <c r="B50" s="19"/>
      <c r="C50" s="6">
        <v>44</v>
      </c>
      <c r="D50" s="27" t="s">
        <v>74</v>
      </c>
      <c r="E50" s="28"/>
      <c r="F50" s="28"/>
      <c r="G50" s="33" t="s">
        <v>75</v>
      </c>
      <c r="H50" s="34" t="s">
        <v>76</v>
      </c>
      <c r="I50" s="105" t="s">
        <v>84</v>
      </c>
      <c r="J50" s="104"/>
      <c r="K50" s="47" t="s">
        <v>85</v>
      </c>
      <c r="L50" s="8"/>
      <c r="M50" s="8"/>
      <c r="N50" s="8"/>
      <c r="O50" s="8"/>
    </row>
    <row r="51" spans="2:15" ht="52.8" x14ac:dyDescent="0.25">
      <c r="B51" s="19"/>
      <c r="C51" s="6">
        <v>45</v>
      </c>
      <c r="D51" s="27" t="s">
        <v>61</v>
      </c>
      <c r="E51" s="28"/>
      <c r="F51" s="28"/>
      <c r="G51" s="35" t="s">
        <v>62</v>
      </c>
      <c r="H51" s="34" t="s">
        <v>63</v>
      </c>
      <c r="I51" s="131" t="s">
        <v>170</v>
      </c>
      <c r="J51" s="132"/>
      <c r="K51" s="47" t="s">
        <v>85</v>
      </c>
      <c r="L51" s="8"/>
      <c r="M51" s="43"/>
      <c r="N51" s="8"/>
      <c r="O51" s="8"/>
    </row>
    <row r="52" spans="2:15" ht="52.8" customHeight="1" x14ac:dyDescent="0.25">
      <c r="B52" s="19"/>
      <c r="C52" s="6">
        <v>46</v>
      </c>
      <c r="D52" s="27" t="s">
        <v>64</v>
      </c>
      <c r="E52" s="28"/>
      <c r="F52" s="28"/>
      <c r="G52" s="35" t="s">
        <v>62</v>
      </c>
      <c r="H52" s="34" t="s">
        <v>58</v>
      </c>
      <c r="I52" s="131" t="s">
        <v>171</v>
      </c>
      <c r="J52" s="132"/>
      <c r="K52" s="47" t="s">
        <v>85</v>
      </c>
      <c r="L52" s="8"/>
      <c r="M52" s="43"/>
      <c r="N52" s="8"/>
      <c r="O52" s="45"/>
    </row>
    <row r="53" spans="2:15" ht="39.6" customHeight="1" x14ac:dyDescent="0.25">
      <c r="B53" s="19"/>
      <c r="C53" s="6">
        <v>47</v>
      </c>
      <c r="D53" s="27" t="s">
        <v>65</v>
      </c>
      <c r="E53" s="28"/>
      <c r="F53" s="28"/>
      <c r="G53" s="33" t="s">
        <v>48</v>
      </c>
      <c r="H53" s="34" t="s">
        <v>66</v>
      </c>
      <c r="I53" s="105" t="s">
        <v>172</v>
      </c>
      <c r="J53" s="104"/>
      <c r="K53" s="47" t="s">
        <v>85</v>
      </c>
      <c r="L53" s="8"/>
      <c r="M53" s="43"/>
      <c r="N53" s="8"/>
      <c r="O53" s="43"/>
    </row>
    <row r="54" spans="2:15" ht="58.8" customHeight="1" x14ac:dyDescent="0.25">
      <c r="B54" s="19"/>
      <c r="C54" s="6">
        <v>48</v>
      </c>
      <c r="D54" s="27" t="s">
        <v>77</v>
      </c>
      <c r="E54" s="28"/>
      <c r="F54" s="28"/>
      <c r="G54" s="36" t="s">
        <v>67</v>
      </c>
      <c r="H54" s="34" t="s">
        <v>68</v>
      </c>
      <c r="I54" s="105" t="s">
        <v>173</v>
      </c>
      <c r="J54" s="104"/>
      <c r="K54" s="47" t="s">
        <v>85</v>
      </c>
      <c r="L54" s="8"/>
      <c r="M54" s="8"/>
      <c r="O54" s="8"/>
    </row>
    <row r="55" spans="2:15" ht="58.8" customHeight="1" x14ac:dyDescent="0.25">
      <c r="B55" s="19"/>
      <c r="C55" s="6">
        <v>49</v>
      </c>
      <c r="D55" s="27" t="s">
        <v>78</v>
      </c>
      <c r="E55" s="28"/>
      <c r="F55" s="28"/>
      <c r="G55" s="36" t="s">
        <v>79</v>
      </c>
      <c r="H55" s="34" t="s">
        <v>68</v>
      </c>
      <c r="I55" s="131" t="s">
        <v>171</v>
      </c>
      <c r="J55" s="132"/>
      <c r="K55" s="47" t="s">
        <v>85</v>
      </c>
      <c r="L55" s="8"/>
      <c r="M55" s="8"/>
      <c r="N55" s="8"/>
      <c r="O55" s="8"/>
    </row>
    <row r="56" spans="2:15" ht="50.4" customHeight="1" x14ac:dyDescent="0.25">
      <c r="B56" s="19"/>
      <c r="C56" s="6">
        <v>50</v>
      </c>
      <c r="D56" s="27" t="s">
        <v>69</v>
      </c>
      <c r="E56" s="28"/>
      <c r="F56" s="28"/>
      <c r="G56" s="33" t="s">
        <v>48</v>
      </c>
      <c r="H56" s="34" t="s">
        <v>71</v>
      </c>
      <c r="I56" s="131" t="s">
        <v>174</v>
      </c>
      <c r="J56" s="132"/>
      <c r="K56" s="47" t="s">
        <v>85</v>
      </c>
      <c r="L56" s="8"/>
      <c r="M56" s="8"/>
      <c r="N56" s="8"/>
      <c r="O56" s="8"/>
    </row>
    <row r="57" spans="2:15" ht="26.4" customHeight="1" x14ac:dyDescent="0.25">
      <c r="B57" s="19"/>
      <c r="C57" s="6">
        <v>51</v>
      </c>
      <c r="D57" s="27" t="s">
        <v>72</v>
      </c>
      <c r="E57" s="28"/>
      <c r="F57" s="28"/>
      <c r="G57" s="36" t="s">
        <v>73</v>
      </c>
      <c r="H57" s="34" t="s">
        <v>41</v>
      </c>
      <c r="I57" s="131" t="s">
        <v>175</v>
      </c>
      <c r="J57" s="132"/>
      <c r="K57" s="47" t="s">
        <v>85</v>
      </c>
      <c r="L57" s="8"/>
      <c r="M57" s="8"/>
      <c r="N57" s="8"/>
      <c r="O57" s="8"/>
    </row>
    <row r="58" spans="2:15" ht="26.4" x14ac:dyDescent="0.25">
      <c r="B58" s="19"/>
      <c r="C58" s="6">
        <v>52</v>
      </c>
      <c r="D58" s="27" t="s">
        <v>81</v>
      </c>
      <c r="E58" s="28"/>
      <c r="F58" s="28"/>
      <c r="G58" s="33" t="s">
        <v>75</v>
      </c>
      <c r="H58" s="34" t="s">
        <v>41</v>
      </c>
      <c r="I58" s="105" t="s">
        <v>84</v>
      </c>
      <c r="J58" s="104"/>
      <c r="K58" s="47" t="s">
        <v>85</v>
      </c>
      <c r="L58" s="8"/>
      <c r="M58" s="8"/>
      <c r="N58" s="8"/>
      <c r="O58" s="8"/>
    </row>
    <row r="59" spans="2:15" s="23" customFormat="1" ht="33.6" customHeight="1" x14ac:dyDescent="0.25">
      <c r="B59" s="65">
        <v>4</v>
      </c>
      <c r="C59" s="6">
        <v>53</v>
      </c>
      <c r="D59" s="27" t="s">
        <v>119</v>
      </c>
      <c r="E59" s="66" t="s">
        <v>116</v>
      </c>
      <c r="F59" s="22"/>
      <c r="G59" s="64" t="s">
        <v>117</v>
      </c>
      <c r="H59" s="67" t="s">
        <v>118</v>
      </c>
      <c r="I59" s="105" t="s">
        <v>176</v>
      </c>
      <c r="J59" s="104"/>
      <c r="K59" s="68" t="s">
        <v>85</v>
      </c>
      <c r="L59" s="43"/>
      <c r="M59" s="43"/>
      <c r="N59" s="43"/>
      <c r="O59" s="43"/>
    </row>
    <row r="60" spans="2:15" s="23" customFormat="1" ht="63.75" customHeight="1" x14ac:dyDescent="0.25">
      <c r="B60" s="65">
        <v>4</v>
      </c>
      <c r="C60" s="6">
        <v>54</v>
      </c>
      <c r="D60" s="27" t="s">
        <v>120</v>
      </c>
      <c r="E60" s="66">
        <v>9</v>
      </c>
      <c r="F60" s="22"/>
      <c r="G60" s="64" t="s">
        <v>121</v>
      </c>
      <c r="H60" s="67" t="s">
        <v>122</v>
      </c>
      <c r="I60" s="130" t="s">
        <v>177</v>
      </c>
      <c r="J60" s="121"/>
      <c r="K60" s="68" t="s">
        <v>85</v>
      </c>
      <c r="L60" s="43"/>
      <c r="M60" s="43"/>
      <c r="N60" s="43"/>
      <c r="O60" s="43"/>
    </row>
    <row r="61" spans="2:15" s="23" customFormat="1" ht="51" customHeight="1" x14ac:dyDescent="0.25">
      <c r="B61" s="65">
        <v>4</v>
      </c>
      <c r="C61" s="6">
        <v>55</v>
      </c>
      <c r="D61" s="27" t="s">
        <v>123</v>
      </c>
      <c r="E61" s="66">
        <v>9</v>
      </c>
      <c r="F61" s="22"/>
      <c r="G61" s="64" t="s">
        <v>124</v>
      </c>
      <c r="H61" s="67" t="s">
        <v>122</v>
      </c>
      <c r="I61" s="105" t="s">
        <v>125</v>
      </c>
      <c r="J61" s="104"/>
      <c r="K61" s="68" t="s">
        <v>85</v>
      </c>
      <c r="L61" s="43"/>
      <c r="M61" s="43"/>
      <c r="N61" s="43"/>
      <c r="O61" s="43"/>
    </row>
    <row r="62" spans="2:15" s="23" customFormat="1" ht="40.5" customHeight="1" x14ac:dyDescent="0.25">
      <c r="B62" s="65">
        <v>4</v>
      </c>
      <c r="C62" s="6">
        <v>56</v>
      </c>
      <c r="D62" s="27" t="s">
        <v>126</v>
      </c>
      <c r="E62" s="66"/>
      <c r="F62" s="22"/>
      <c r="G62" s="64" t="s">
        <v>127</v>
      </c>
      <c r="H62" s="69" t="s">
        <v>128</v>
      </c>
      <c r="I62" s="120" t="s">
        <v>178</v>
      </c>
      <c r="J62" s="121"/>
      <c r="K62" s="68" t="s">
        <v>85</v>
      </c>
      <c r="L62" s="43"/>
      <c r="M62" s="43"/>
      <c r="N62" s="43"/>
      <c r="O62" s="43"/>
    </row>
    <row r="63" spans="2:15" s="23" customFormat="1" ht="50.4" x14ac:dyDescent="0.25">
      <c r="B63" s="65">
        <v>4</v>
      </c>
      <c r="C63" s="6">
        <v>57</v>
      </c>
      <c r="D63" s="27" t="s">
        <v>112</v>
      </c>
      <c r="E63" s="66" t="s">
        <v>113</v>
      </c>
      <c r="F63" s="22"/>
      <c r="G63" s="33" t="s">
        <v>114</v>
      </c>
      <c r="H63" s="69" t="s">
        <v>115</v>
      </c>
      <c r="I63" s="130" t="s">
        <v>181</v>
      </c>
      <c r="J63" s="121"/>
      <c r="K63" s="68" t="s">
        <v>85</v>
      </c>
      <c r="L63" s="43"/>
      <c r="M63" s="43"/>
      <c r="N63" s="43"/>
      <c r="O63" s="43"/>
    </row>
    <row r="64" spans="2:15" ht="60" customHeight="1" x14ac:dyDescent="0.25">
      <c r="B64" s="9">
        <v>5</v>
      </c>
      <c r="C64" s="6">
        <v>58</v>
      </c>
      <c r="D64" s="20" t="str">
        <f>I2&amp; " sürecinin "&amp; "sürecinin tüm işlemleri için oluşturulmuş ve kontrol edilen prosedü(ler) mevcut mudur?"</f>
        <v>D06 Kalite Kontrol  sürecinin sürecinin tüm işlemleri için oluşturulmuş ve kontrol edilen prosedü(ler) mevcut mudur?</v>
      </c>
      <c r="E64" s="20"/>
      <c r="F64" s="28"/>
      <c r="G64" s="32" t="s">
        <v>30</v>
      </c>
      <c r="H64" s="37" t="str">
        <f t="shared" ref="H64:H67" si="2">$I$4</f>
        <v>Kalite Sistem Yöneticisi</v>
      </c>
      <c r="I64" s="103" t="s">
        <v>180</v>
      </c>
      <c r="J64" s="104"/>
      <c r="K64" s="47" t="s">
        <v>85</v>
      </c>
      <c r="L64" s="8"/>
      <c r="M64" s="8"/>
      <c r="N64" s="8"/>
      <c r="O64" s="8"/>
    </row>
    <row r="65" spans="2:15" ht="26.4" customHeight="1" x14ac:dyDescent="0.25">
      <c r="B65" s="9">
        <v>6</v>
      </c>
      <c r="C65" s="6">
        <v>59</v>
      </c>
      <c r="D65" s="20" t="str">
        <f>I2&amp; " sürecinin "&amp; "performansı ve etkinliği değerlendirilmekte midir? DOKÜMANTE BİLGİ (9.1.1)"</f>
        <v>D06 Kalite Kontrol  sürecinin performansı ve etkinliği değerlendirilmekte midir? DOKÜMANTE BİLGİ (9.1.1)</v>
      </c>
      <c r="E65" s="20"/>
      <c r="F65" s="28"/>
      <c r="G65" s="32" t="s">
        <v>31</v>
      </c>
      <c r="H65" s="37" t="str">
        <f t="shared" si="2"/>
        <v>Kalite Sistem Yöneticisi</v>
      </c>
      <c r="I65" s="130" t="s">
        <v>179</v>
      </c>
      <c r="J65" s="121"/>
      <c r="K65" s="47" t="s">
        <v>85</v>
      </c>
      <c r="L65" s="8"/>
      <c r="M65" s="8"/>
      <c r="O65" s="8"/>
    </row>
    <row r="66" spans="2:15" ht="26.4" customHeight="1" x14ac:dyDescent="0.25">
      <c r="B66" s="9">
        <v>6</v>
      </c>
      <c r="C66" s="6">
        <v>60</v>
      </c>
      <c r="D66" s="20" t="str">
        <f>I2&amp; " sürecinin "&amp; "sürecinin müşterlerinin memnuniyeti ölçülüyor mu?"</f>
        <v>D06 Kalite Kontrol  sürecinin sürecinin müşterlerinin memnuniyeti ölçülüyor mu?</v>
      </c>
      <c r="E66" s="20"/>
      <c r="F66" s="28"/>
      <c r="G66" s="32" t="s">
        <v>32</v>
      </c>
      <c r="H66" s="37" t="str">
        <f t="shared" si="2"/>
        <v>Kalite Sistem Yöneticisi</v>
      </c>
      <c r="I66" s="130" t="s">
        <v>130</v>
      </c>
      <c r="J66" s="121"/>
      <c r="K66" s="47" t="s">
        <v>85</v>
      </c>
      <c r="L66" s="8"/>
      <c r="M66" s="8"/>
      <c r="N66" s="8"/>
      <c r="O66" s="8"/>
    </row>
    <row r="67" spans="2:15" ht="26.4" customHeight="1" x14ac:dyDescent="0.25">
      <c r="B67" s="9">
        <v>6</v>
      </c>
      <c r="C67" s="6">
        <v>61</v>
      </c>
      <c r="D67" s="7" t="str">
        <f>I2&amp; " sürecinin "&amp; "izlenmesi ve ölçülmesine ait sonuçlar, istatitiksel yöntemler ile analiz ediliyor ve değerlendiriliyor mu?"</f>
        <v>D06 Kalite Kontrol  sürecinin izlenmesi ve ölçülmesine ait sonuçlar, istatitiksel yöntemler ile analiz ediliyor ve değerlendiriliyor mu?</v>
      </c>
      <c r="E67" s="7"/>
      <c r="F67" s="22"/>
      <c r="G67" s="12" t="s">
        <v>33</v>
      </c>
      <c r="H67" s="21" t="str">
        <f t="shared" si="2"/>
        <v>Kalite Sistem Yöneticisi</v>
      </c>
      <c r="I67" s="130" t="s">
        <v>179</v>
      </c>
      <c r="J67" s="121"/>
      <c r="K67" s="47" t="s">
        <v>85</v>
      </c>
      <c r="L67" s="8"/>
      <c r="M67" s="8"/>
      <c r="N67" s="8"/>
      <c r="O67" s="8"/>
    </row>
    <row r="68" spans="2:15" x14ac:dyDescent="0.25">
      <c r="C68" s="23" t="s">
        <v>38</v>
      </c>
      <c r="K68" s="1">
        <v>60</v>
      </c>
    </row>
    <row r="70" spans="2:15" x14ac:dyDescent="0.25">
      <c r="H70" s="25"/>
    </row>
    <row r="71" spans="2:15" ht="15.6" x14ac:dyDescent="0.3">
      <c r="C71" s="48" t="s">
        <v>86</v>
      </c>
      <c r="D71" s="49"/>
      <c r="E71" s="49"/>
      <c r="F71" s="50"/>
      <c r="G71" s="49"/>
      <c r="H71" s="49"/>
      <c r="I71" s="74"/>
      <c r="J71" s="75"/>
      <c r="K71" s="49"/>
    </row>
    <row r="72" spans="2:15" ht="14.4" x14ac:dyDescent="0.3">
      <c r="C72" s="51" t="s">
        <v>87</v>
      </c>
      <c r="D72" s="49"/>
      <c r="E72" s="49"/>
      <c r="F72" s="50"/>
      <c r="G72" s="49"/>
      <c r="H72" s="49"/>
      <c r="I72" s="74"/>
      <c r="J72" s="75"/>
      <c r="K72" s="49"/>
    </row>
    <row r="73" spans="2:15" ht="14.4" x14ac:dyDescent="0.3">
      <c r="C73" s="81" t="s">
        <v>88</v>
      </c>
      <c r="D73" s="82"/>
      <c r="E73" s="83"/>
      <c r="F73" s="50"/>
      <c r="G73" s="49"/>
      <c r="H73" s="49"/>
      <c r="I73" s="74"/>
      <c r="J73" s="75"/>
      <c r="K73" s="49"/>
    </row>
    <row r="74" spans="2:15" ht="14.4" x14ac:dyDescent="0.3">
      <c r="C74" s="52"/>
      <c r="D74" s="53"/>
      <c r="E74" s="54"/>
      <c r="F74" s="50"/>
      <c r="G74" s="49"/>
      <c r="H74" s="49"/>
      <c r="I74" s="74"/>
      <c r="J74" s="75"/>
      <c r="K74" s="49"/>
    </row>
    <row r="75" spans="2:15" ht="14.4" x14ac:dyDescent="0.3">
      <c r="C75" s="55"/>
      <c r="D75" s="49"/>
      <c r="E75" s="49"/>
      <c r="F75" s="50"/>
      <c r="G75" s="49"/>
      <c r="H75" s="49"/>
      <c r="I75" s="74"/>
      <c r="J75" s="75"/>
      <c r="K75" s="49"/>
    </row>
    <row r="76" spans="2:15" ht="14.4" x14ac:dyDescent="0.3">
      <c r="C76" s="51" t="s">
        <v>89</v>
      </c>
      <c r="D76" s="49"/>
      <c r="E76" s="49"/>
      <c r="F76" s="50"/>
      <c r="G76" s="49"/>
      <c r="H76" s="49"/>
      <c r="I76" s="74"/>
      <c r="J76" s="75"/>
      <c r="K76" s="49"/>
    </row>
    <row r="77" spans="2:15" ht="14.4" x14ac:dyDescent="0.3">
      <c r="C77" s="84" t="s">
        <v>182</v>
      </c>
      <c r="D77" s="85"/>
      <c r="E77" s="86"/>
      <c r="F77" s="50"/>
      <c r="G77" s="49"/>
      <c r="H77" s="49"/>
      <c r="I77" s="74"/>
      <c r="J77" s="75"/>
      <c r="K77" s="49"/>
    </row>
    <row r="78" spans="2:15" ht="14.4" x14ac:dyDescent="0.3">
      <c r="C78" s="87"/>
      <c r="D78" s="88"/>
      <c r="E78" s="89"/>
      <c r="F78" s="50"/>
      <c r="G78" s="49"/>
      <c r="H78" s="49"/>
      <c r="I78" s="74"/>
      <c r="J78" s="75"/>
      <c r="K78" s="49"/>
    </row>
    <row r="79" spans="2:15" ht="14.4" x14ac:dyDescent="0.3">
      <c r="C79" s="55"/>
      <c r="D79" s="49"/>
      <c r="E79" s="49"/>
      <c r="F79" s="50"/>
      <c r="G79" s="49"/>
      <c r="H79" s="49"/>
      <c r="I79" s="74"/>
      <c r="J79" s="75"/>
      <c r="K79" s="49"/>
    </row>
    <row r="80" spans="2:15" ht="14.4" x14ac:dyDescent="0.3">
      <c r="C80" s="51" t="s">
        <v>90</v>
      </c>
      <c r="D80" s="49"/>
      <c r="E80" s="49"/>
      <c r="F80" s="50"/>
      <c r="G80" s="49"/>
      <c r="H80" s="49"/>
      <c r="I80" s="74"/>
      <c r="J80" s="75"/>
      <c r="K80" s="49"/>
    </row>
    <row r="81" spans="3:11" ht="14.4" x14ac:dyDescent="0.3">
      <c r="C81" s="84"/>
      <c r="D81" s="85"/>
      <c r="E81" s="86"/>
      <c r="F81" s="50"/>
      <c r="G81" s="49"/>
      <c r="H81" s="49"/>
      <c r="I81" s="74"/>
      <c r="J81" s="75"/>
      <c r="K81" s="49"/>
    </row>
    <row r="82" spans="3:11" ht="14.4" x14ac:dyDescent="0.3">
      <c r="C82" s="87"/>
      <c r="D82" s="88"/>
      <c r="E82" s="89"/>
      <c r="F82" s="50"/>
      <c r="G82" s="49"/>
      <c r="H82" s="49"/>
      <c r="I82" s="74"/>
      <c r="J82" s="75"/>
      <c r="K82" s="49"/>
    </row>
    <row r="83" spans="3:11" ht="15.6" x14ac:dyDescent="0.3">
      <c r="C83" s="48" t="s">
        <v>91</v>
      </c>
      <c r="D83" s="49"/>
      <c r="E83" s="49"/>
      <c r="F83" s="50"/>
      <c r="G83" s="49"/>
      <c r="H83" s="49"/>
      <c r="I83" s="74"/>
      <c r="J83" s="75"/>
      <c r="K83" s="49"/>
    </row>
    <row r="84" spans="3:11" ht="14.4" x14ac:dyDescent="0.3">
      <c r="C84" s="90">
        <v>100</v>
      </c>
      <c r="D84" s="90"/>
      <c r="E84" s="90"/>
      <c r="F84" s="50"/>
      <c r="G84" s="49"/>
      <c r="H84" s="49"/>
      <c r="I84" s="74"/>
      <c r="J84" s="75"/>
      <c r="K84" s="49"/>
    </row>
    <row r="85" spans="3:11" ht="14.4" x14ac:dyDescent="0.3">
      <c r="C85" s="56"/>
      <c r="D85" s="49"/>
      <c r="E85" s="49"/>
      <c r="F85" s="50"/>
      <c r="G85" s="57"/>
      <c r="H85" s="49"/>
      <c r="I85" s="74"/>
      <c r="J85" s="75"/>
      <c r="K85" s="49"/>
    </row>
    <row r="86" spans="3:11" ht="14.4" x14ac:dyDescent="0.3">
      <c r="C86" s="56"/>
      <c r="D86" s="49"/>
      <c r="E86" s="49"/>
      <c r="F86" s="50"/>
      <c r="G86" s="58" t="s">
        <v>92</v>
      </c>
      <c r="H86" s="59"/>
      <c r="I86" s="76" t="s">
        <v>82</v>
      </c>
      <c r="J86" s="77"/>
      <c r="K86" s="61"/>
    </row>
    <row r="87" spans="3:11" ht="14.4" x14ac:dyDescent="0.3">
      <c r="C87" s="56"/>
      <c r="D87" s="49"/>
      <c r="E87" s="49"/>
      <c r="F87" s="50"/>
      <c r="G87" s="60" t="s">
        <v>135</v>
      </c>
      <c r="H87" s="61"/>
      <c r="I87" s="78"/>
      <c r="J87" s="77"/>
      <c r="K87" s="61"/>
    </row>
  </sheetData>
  <mergeCells count="76">
    <mergeCell ref="K4:O4"/>
    <mergeCell ref="I42:J42"/>
    <mergeCell ref="I45:J45"/>
    <mergeCell ref="I46:J46"/>
    <mergeCell ref="I48:J48"/>
    <mergeCell ref="I19:J19"/>
    <mergeCell ref="K5:N5"/>
    <mergeCell ref="I17:J17"/>
    <mergeCell ref="I11:J11"/>
    <mergeCell ref="I12:J12"/>
    <mergeCell ref="I13:J13"/>
    <mergeCell ref="I14:J14"/>
    <mergeCell ref="I15:J15"/>
    <mergeCell ref="I16:J16"/>
    <mergeCell ref="I41:J41"/>
    <mergeCell ref="I58:J58"/>
    <mergeCell ref="B5:B6"/>
    <mergeCell ref="I5:J6"/>
    <mergeCell ref="I7:J7"/>
    <mergeCell ref="I8:J8"/>
    <mergeCell ref="I9:J9"/>
    <mergeCell ref="H5:H6"/>
    <mergeCell ref="C5:C6"/>
    <mergeCell ref="E5:E6"/>
    <mergeCell ref="G5:G6"/>
    <mergeCell ref="I53:J53"/>
    <mergeCell ref="I54:J54"/>
    <mergeCell ref="I55:J55"/>
    <mergeCell ref="I56:J56"/>
    <mergeCell ref="I57:J57"/>
    <mergeCell ref="I49:J49"/>
    <mergeCell ref="I50:J50"/>
    <mergeCell ref="I51:J51"/>
    <mergeCell ref="I52:J52"/>
    <mergeCell ref="C4:D4"/>
    <mergeCell ref="D5:D6"/>
    <mergeCell ref="I18:J18"/>
    <mergeCell ref="I20:J20"/>
    <mergeCell ref="I21:J21"/>
    <mergeCell ref="I43:J43"/>
    <mergeCell ref="I22:J22"/>
    <mergeCell ref="I23:J23"/>
    <mergeCell ref="I24:J24"/>
    <mergeCell ref="I25:J25"/>
    <mergeCell ref="I26:J26"/>
    <mergeCell ref="I37:J37"/>
    <mergeCell ref="I36:J36"/>
    <mergeCell ref="G2:H2"/>
    <mergeCell ref="F5:F6"/>
    <mergeCell ref="I47:J47"/>
    <mergeCell ref="I27:J27"/>
    <mergeCell ref="I28:J28"/>
    <mergeCell ref="I29:J29"/>
    <mergeCell ref="I30:J30"/>
    <mergeCell ref="I31:J31"/>
    <mergeCell ref="I44:J44"/>
    <mergeCell ref="I38:J38"/>
    <mergeCell ref="I39:J39"/>
    <mergeCell ref="I40:J40"/>
    <mergeCell ref="I32:J32"/>
    <mergeCell ref="I33:J33"/>
    <mergeCell ref="I34:J34"/>
    <mergeCell ref="I35:J35"/>
    <mergeCell ref="C73:E73"/>
    <mergeCell ref="C77:E78"/>
    <mergeCell ref="C84:E84"/>
    <mergeCell ref="I67:J67"/>
    <mergeCell ref="I64:J64"/>
    <mergeCell ref="I65:J65"/>
    <mergeCell ref="I66:J66"/>
    <mergeCell ref="C81:E82"/>
    <mergeCell ref="I63:J63"/>
    <mergeCell ref="I59:J59"/>
    <mergeCell ref="I60:J60"/>
    <mergeCell ref="I61:J61"/>
    <mergeCell ref="I62:J62"/>
  </mergeCells>
  <conditionalFormatting sqref="F7:F24 F41:F67">
    <cfRule type="expression" dxfId="0" priority="8">
      <formula>F7="N/A"</formula>
    </cfRule>
  </conditionalFormatting>
  <dataValidations disablePrompts="1" count="1">
    <dataValidation type="list" allowBlank="1" showInputMessage="1" showErrorMessage="1" sqref="F7:F24 F41:F67" xr:uid="{00000000-0002-0000-0000-000000000000}">
      <formula1>"N/A"</formula1>
    </dataValidation>
  </dataValidations>
  <printOptions horizontalCentered="1"/>
  <pageMargins left="0.15748031496062992" right="0.15748031496062992" top="0.31496062992125984" bottom="0.35433070866141736" header="0.23622047244094491" footer="0.15748031496062992"/>
  <pageSetup paperSize="9" scale="82" fitToHeight="0" orientation="landscape" r:id="rId1"/>
  <headerFooter>
    <oddHeader>&amp;RY03 F28(1)_07.04.2025</oddHeader>
    <oddFooter>&amp;L&amp;"Arial,Normal"Hazırlayan: PİVOT YÖNETİM DANIŞMANLIĞI&amp;R&amp;"Arial,Normal"Sayfa:&amp;P/&amp;N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2</vt:i4>
      </vt:variant>
    </vt:vector>
  </HeadingPairs>
  <TitlesOfParts>
    <vt:vector size="3" baseType="lpstr">
      <vt:lpstr>SORU LİSTESİ</vt:lpstr>
      <vt:lpstr>'SORU LİSTESİ'!Yazdırma_Alanı</vt:lpstr>
      <vt:lpstr>'SORU LİSTESİ'!Yazdırma_Başlıkları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2025-05-12T11:53:39Z</dcterms:modified>
</cp:coreProperties>
</file>