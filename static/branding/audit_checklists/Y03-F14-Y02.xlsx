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8A123410-F2CE-407F-9D81-773574E99638}" xr6:coauthVersionLast="47" xr6:coauthVersionMax="47" xr10:uidLastSave="{00000000-0000-0000-0000-000000000000}"/>
  <bookViews>
    <workbookView xWindow="-108" yWindow="-108" windowWidth="23256" windowHeight="12456" tabRatio="541" xr2:uid="{00000000-000D-0000-FFFF-FFFF00000000}"/>
  </bookViews>
  <sheets>
    <sheet name="SORU LİSTESİ" sheetId="2" r:id="rId1"/>
  </sheets>
  <definedNames>
    <definedName name="_xlnm.Print_Area" localSheetId="0">'SORU LİSTESİ'!$C$2:$O$83</definedName>
    <definedName name="_xlnm.Print_Titles" localSheetId="0">'SORU LİSTESİ'!$2:$6</definedName>
  </definedNames>
  <calcPr calcId="191029"/>
</workbook>
</file>

<file path=xl/calcChain.xml><?xml version="1.0" encoding="utf-8"?>
<calcChain xmlns="http://schemas.openxmlformats.org/spreadsheetml/2006/main">
  <c r="D79" i="2" l="1"/>
  <c r="H79" i="2"/>
  <c r="D80" i="2"/>
  <c r="H80" i="2"/>
  <c r="D81" i="2"/>
  <c r="H81" i="2"/>
  <c r="D82" i="2"/>
  <c r="H82" i="2"/>
  <c r="H24" i="2"/>
  <c r="D24" i="2"/>
  <c r="D23" i="2"/>
  <c r="D22" i="2"/>
  <c r="D21" i="2"/>
  <c r="D20" i="2"/>
  <c r="H19" i="2"/>
  <c r="D19" i="2"/>
  <c r="D18" i="2"/>
  <c r="D17" i="2"/>
  <c r="D16" i="2"/>
  <c r="H23" i="2"/>
  <c r="H22" i="2"/>
  <c r="H21" i="2"/>
  <c r="H20" i="2"/>
  <c r="H18" i="2"/>
  <c r="H17" i="2"/>
  <c r="H15" i="2"/>
  <c r="H16" i="2"/>
  <c r="D15" i="2"/>
  <c r="H13" i="2"/>
  <c r="H14" i="2"/>
  <c r="D13" i="2"/>
  <c r="D14" i="2"/>
  <c r="H12" i="2"/>
  <c r="D12" i="2"/>
  <c r="H11" i="2"/>
  <c r="H10" i="2"/>
  <c r="D11" i="2"/>
  <c r="D10" i="2"/>
  <c r="H9" i="2"/>
  <c r="D9" i="2"/>
  <c r="H8" i="2"/>
  <c r="H7" i="2"/>
  <c r="D8" i="2"/>
  <c r="D7" i="2"/>
</calcChain>
</file>

<file path=xl/sharedStrings.xml><?xml version="1.0" encoding="utf-8"?>
<sst xmlns="http://schemas.openxmlformats.org/spreadsheetml/2006/main" count="378" uniqueCount="188">
  <si>
    <t>DENETİM  RAPORU</t>
  </si>
  <si>
    <t>GÖZLEM / DELİL</t>
  </si>
  <si>
    <t>BULGU</t>
  </si>
  <si>
    <t>Evet</t>
  </si>
  <si>
    <t>Majör</t>
  </si>
  <si>
    <t>Minör</t>
  </si>
  <si>
    <t>İyil.</t>
  </si>
  <si>
    <t>Şart No</t>
  </si>
  <si>
    <t>NO</t>
  </si>
  <si>
    <t>DF</t>
  </si>
  <si>
    <t>No</t>
  </si>
  <si>
    <t>TİP</t>
  </si>
  <si>
    <t>Denetçi(ler):</t>
  </si>
  <si>
    <t>4.4</t>
  </si>
  <si>
    <t>6.2</t>
  </si>
  <si>
    <t>6.1</t>
  </si>
  <si>
    <t>6.3</t>
  </si>
  <si>
    <t>9.2</t>
  </si>
  <si>
    <t>9.3</t>
  </si>
  <si>
    <t>10.2</t>
  </si>
  <si>
    <t>10.3</t>
  </si>
  <si>
    <t>7.4</t>
  </si>
  <si>
    <t>7.1.3</t>
  </si>
  <si>
    <t>7.1.4</t>
  </si>
  <si>
    <t>7.1.5</t>
  </si>
  <si>
    <t>5.2</t>
  </si>
  <si>
    <t>5.3</t>
  </si>
  <si>
    <t>7.1.2</t>
  </si>
  <si>
    <t>7.2</t>
  </si>
  <si>
    <t>7.3</t>
  </si>
  <si>
    <t>7.5</t>
  </si>
  <si>
    <t>9.1.1</t>
  </si>
  <si>
    <t>9.1.2</t>
  </si>
  <si>
    <t>9.1.3</t>
  </si>
  <si>
    <t xml:space="preserve">Kime </t>
  </si>
  <si>
    <t>Süreç Lideri:</t>
  </si>
  <si>
    <t xml:space="preserve">Süreç Adı: </t>
  </si>
  <si>
    <t>N/A</t>
  </si>
  <si>
    <t>N/A : Uygulanamaz (Non Applicable)</t>
  </si>
  <si>
    <t>SORU</t>
  </si>
  <si>
    <t>İşlemNo</t>
  </si>
  <si>
    <t>Çevre analizi tüm bileşenleri içerecek şekilde hazırlanmış mıdır?</t>
  </si>
  <si>
    <t>4.1</t>
  </si>
  <si>
    <t xml:space="preserve">Satış&amp;Proje Yön.
Kalite Sistem Yön.
</t>
  </si>
  <si>
    <t>Paydaş analizinde ilgili taraflar tanımlanmış ve kuruluşlar ile ilgili faaliyetler belirlenmiş midir?</t>
  </si>
  <si>
    <t>4.2</t>
  </si>
  <si>
    <t>Organizasyon durum analiz yöntemleri belilenmiş midir?</t>
  </si>
  <si>
    <t>Organizayondaki tüm süreçler için açıklar tespit edilmiş midir? Bu açıklıklar için aksiyonlar belirlenmiş ve takip ediliyor mu?</t>
  </si>
  <si>
    <t>3 /4</t>
  </si>
  <si>
    <t>Kurumsal karnede tüm süreçlerin performans parametreleri tanımlanmış ve KPI ları belirlenmiş midir? İlgili süreçlere ait roller tanımlanmış mıdır?</t>
  </si>
  <si>
    <t>Proses ana haritasının oluşturulmasında tüm süreçler ile ilişkiler gözden geçirilmiş midir? Süreç Kimlik kartlarının hangi sistematik yöntem kullanılmışştır. Tüm süreçler için uygulanıyor mu?</t>
  </si>
  <si>
    <t>6</t>
  </si>
  <si>
    <t>5.1.1.3</t>
  </si>
  <si>
    <t xml:space="preserve">Kurumsal Karne ve tüm prosedür ve iş standartlarında roller tanımanmış mıdır?
</t>
  </si>
  <si>
    <t>8</t>
  </si>
  <si>
    <t>5.11.2</t>
  </si>
  <si>
    <t>İş modeli seviyesinde , süreç modeli seviyesinde ve ürün modeli seviyesinde risk analiz methotları belirlenmiş midir? Risk analizleri çıkartılmakta mıdır? Belirlenen riskler için aksiyon planları oluşturlmakta ve gözden geçirilmekte midir?</t>
  </si>
  <si>
    <t>6.1.2.3</t>
  </si>
  <si>
    <t>İşletme içerisinde oluşabilecek durumları içeren bir acil durum planı mevcut mudur? Acil durum planı risk analizlerinden çıkan verileri içeriyor mu?</t>
  </si>
  <si>
    <t>Kuruluş, standart şartlarını karşılayan,kuruluşun amaç ve hedeflerine uygun kalite politikasına sahip midir?</t>
  </si>
  <si>
    <t>22</t>
  </si>
  <si>
    <t xml:space="preserve">Genel Müdür, Debak A:ş Yön. Kurulu,'Satış&amp;Proje Yön.
Kalite Sistem Yön., İlgili ProsesSahipleri7
</t>
  </si>
  <si>
    <t xml:space="preserve">Genel Müdür, Debak A:ş Yön. Kurulu,'Satış&amp;Proje Yön.,Kalite Sistem Yön., İlgili Proses Sahipleri
</t>
  </si>
  <si>
    <t>5.2.2</t>
  </si>
  <si>
    <t xml:space="preserve">İSG politikası, tüm çalışanlara ve ilgili taraflara iletilmesi ile ilgili yöntemler tanımlı mıdır? </t>
  </si>
  <si>
    <t>6.1/6.1.2.1 /6.1.2.2</t>
  </si>
  <si>
    <t>1/9/16</t>
  </si>
  <si>
    <t>Kalite amaçları belirlenmiş midir? Bu amaçlara erişmek için aksiyon planları hazırlanıyor mu? Gözden geçirmeler gerçekleştiriliyor mu?</t>
  </si>
  <si>
    <t xml:space="preserve">Yönetim Sisteminin Kapsam ve Sınırlarının belirlenmesinde methodlar tanımlanmış mııdır? 
</t>
  </si>
  <si>
    <t>4.3</t>
  </si>
  <si>
    <t xml:space="preserve">Genel Müdür, Proses Sahipleri, Kalite sistem Yön.
</t>
  </si>
  <si>
    <t>19</t>
  </si>
  <si>
    <t>4.3.2</t>
  </si>
  <si>
    <t>Müşteri özel istekleri tanımlanmış mıdır?</t>
  </si>
  <si>
    <t>Kurumsal Kimlik Bilgileri tanımlanmış mı? Kurumsal Kimlik bilgilerinin girdisi olarak çevre analizi verileri göz önünde bulundurulmakta mıdır?</t>
  </si>
  <si>
    <t>7.1.6</t>
  </si>
  <si>
    <t xml:space="preserve">Genel Müdür,Kalite sistem Yön.,Proses Sahipleri
</t>
  </si>
  <si>
    <t>8.5.6</t>
  </si>
  <si>
    <t>21-25</t>
  </si>
  <si>
    <t>Genel Müdür,Kalite sistem Yön.,Proses Sahipleri</t>
  </si>
  <si>
    <t>SWOT analiz çalışmaları gerçekleştirilmiş ve strateji planlama yapılmakta ve gözden geçirlmekte midir?</t>
  </si>
  <si>
    <t>Kurumsal iç ve dış iletişim yöntemleri belirlenmiş midir? Etkili bir biçimde kullanılabiliyor mu?</t>
  </si>
  <si>
    <t>Kalite politikası ulaşılabiliridir. Web sayfası ve işletme içinde de bulunmaktadır.</t>
  </si>
  <si>
    <t>Tüm roller tanımlanmıştır.</t>
  </si>
  <si>
    <t>Web sayfasında yayınlanmıştır. Çalışanlar için ayrıca işletme içerisinde panoda yer almaktadır.</t>
  </si>
  <si>
    <t>Kurumsal Karnede Çevre Analizi değerlendirmesi mevcuttur.</t>
  </si>
  <si>
    <t>SWOT Analizi çalışmları gerçekleştirilmiş ve YGG de değerlendirilmiştir.</t>
  </si>
  <si>
    <t>Onur Yalçın</t>
  </si>
  <si>
    <t>√</t>
  </si>
  <si>
    <t>DENETİM BULGULARI:</t>
  </si>
  <si>
    <t xml:space="preserve">1) Uygunsuzluklar: </t>
  </si>
  <si>
    <t>Uygunsuzluk tespit edilmemiştir.</t>
  </si>
  <si>
    <t>2) Kuvvetli Yönler:</t>
  </si>
  <si>
    <t>3) İyileştirme Önerileri:</t>
  </si>
  <si>
    <t>DENETİM SONUCU:</t>
  </si>
  <si>
    <t>Denetçi İsim Soyisim:</t>
  </si>
  <si>
    <t>D3 T6.19 Acil Önlem Planı hazırlanmıştır. Risk analizlerinden çıkan verileri ve güncel&amp;doğal afet vb  durumları da içermektedir.</t>
  </si>
  <si>
    <t>Sistem ve donanım şartları sağlanmıştır. Yazılım proğramı canias ile deteklenmektedir.</t>
  </si>
  <si>
    <t>D4.2 T01 Kalite Politikası</t>
  </si>
  <si>
    <t>D4.3 T01 İletişim Talimatı</t>
  </si>
  <si>
    <t>Güllü Ünlü-Fevzi Ünal</t>
  </si>
  <si>
    <t xml:space="preserve">Yatırım bütçe planı hazırlanmakta ve Finansal kaynakların planlaması yapılmakta mıdır? </t>
  </si>
  <si>
    <t>1/2/3</t>
  </si>
  <si>
    <t xml:space="preserve">Genel Müdür- Satış &amp; Proje Yön. -İdari &amp; Mali&amp;İdari İşler Yön.-Muhasebe Sor.
</t>
  </si>
  <si>
    <t>Finansal kaynakların yeterlilik çalışma yöntemleri belirlenmiş ve sorumlu kişiler tanımlanmış mıdır?</t>
  </si>
  <si>
    <t>5/6</t>
  </si>
  <si>
    <t>Finansal yeterlilik çalışmaları yapılmakta ve finansal iyileştirme yöntemleri tanımlanmış ve yerine getirilmekte midir? Belli aralıklarla gözden geçirme yapılmakta mıdır?</t>
  </si>
  <si>
    <t>7/8</t>
  </si>
  <si>
    <t>Aylık toplantılarda ve yıllık YGG toplantılarında gözden geçirilmekytedir.</t>
  </si>
  <si>
    <t>Finansal kaynakların planlanmasında yatırım kaynaklarının çeşitleri tanımlanmış mı?</t>
  </si>
  <si>
    <t xml:space="preserve">Firma Faaliyetleri İle İlgili Maliye Bakanlığına Kayıt yaptırılmış mıdır?
</t>
  </si>
  <si>
    <t xml:space="preserve">Mali&amp;İdari İşler Yön. Muhasebe Sor.
</t>
  </si>
  <si>
    <t>Maliye bakanlığına kayıtlar yapılmış olup, yasal mevzuata uygun yerine getirilmiştir.</t>
  </si>
  <si>
    <t>Maliyet Muhasebesi için masraf merkezlerinin tanımlanmaları yapılmakta mıdır? Kayıtları tutulmakta mıdır?</t>
  </si>
  <si>
    <t>Masraf merkezleri tanımlanmıştır. Üretim masraf merkezi görüldü.</t>
  </si>
  <si>
    <t xml:space="preserve">Satınalma ve Satış faaliyetleri ile ilgili methodlar, tanımlamalar, bilgiler tanımlanmış ve kayıt altına alınmakta mıdır? Cari bilgiler, fatura, ödeme planları, ödeme/ tahsilat işlem kanıtları mevcut mudur? </t>
  </si>
  <si>
    <t>14,15,16,17,18,19,20,21</t>
  </si>
  <si>
    <t>İlgili aya ait tüm evraklar kontrol edilmekte ve sisteme girişleri yapılmakta mıdır?</t>
  </si>
  <si>
    <t xml:space="preserve">Muhasebe ve resmi bildirimler ile ilgili kurum/kuruluş organizasyonda tanımlanmış mıdır? Personel yeterli yetkinliğe sahip midir? Resmi evrakların saklanma ve muhafazasının yöntemleri belirlenmiş mi?
</t>
  </si>
  <si>
    <t>23-…-     39</t>
  </si>
  <si>
    <t>Kurumsal karnede belirtilen performanslar YGG gözden geçiriliyor mu</t>
  </si>
  <si>
    <t>6.2.2.1</t>
  </si>
  <si>
    <t xml:space="preserve">Genel Müdür,Satış&amp;Proje Yön.
Kalite Sistem Yön., İlgili Proses Shipleri
</t>
  </si>
  <si>
    <t>Belirlenen tüm performanslar YGG de süreç bazında değerlendirilmektedir.</t>
  </si>
  <si>
    <t>Değişiklikler yönetilmekte midir? Değişiklik methotları belirlenmiş midir? Değişiklik kayıtları tutulmakta mıdır?</t>
  </si>
  <si>
    <t>62-63-64-65</t>
  </si>
  <si>
    <t xml:space="preserve">Kalite Sistem Yöneticisi
-Satış&amp; Proje Yöneticisi
-Genel Müdür
-Üretim&amp;Tasarım Yön.
</t>
  </si>
  <si>
    <t>Değişiklikler için aksiyonlar belirlenmekte midir? Aksiyonlar gözden geçirilmekte midir?</t>
  </si>
  <si>
    <t>Hedeflere Ulaşmada Mevcut ve Olası Engeller İçin Risk Analiz yöntemleri belirlenmiş midir? Risk analizleri yapılmakta ve belirlenen aksiyonlar takip edilmekte midir?</t>
  </si>
  <si>
    <t>Değişikliklerin giderilmesinden sonra yeniden deneme ve devreye alma  yöntemleri uygulanmakta mıdır? Doğrulamalar yapılmakta mıdır?</t>
  </si>
  <si>
    <t>8.5.6.1</t>
  </si>
  <si>
    <t xml:space="preserve">Satış&amp;Proje Yöneticisi
Üretim&amp;Tasarım Yöneticisi
KAlite Sistem Yöneticisi
</t>
  </si>
  <si>
    <t>Kuruluş ; yönetim sistem ve kapsamlarının belirlendirği, analizlerin yapıldığı, risk değerlendirmesi ve kontrollerin belirlenmesine uygun yöntemlerin belirlendiği ve  gerçekleştirildiği,iç/dış iletişim sağlama yöntemlerini açıklayıcı, politikaları ve hedeflerinin geliştirilmesine ve gözden geçirilmesine uygun katılımın sağlandığı, değişikliklerin yönetildiği konularda prosedürler oluşturmuş, uyguluyor ve bunları sürdürüyor mu?</t>
  </si>
  <si>
    <t>Özel ve Kritik Ürün ve Proses Karakteristikleri İçin Kararlılık ve Yeterliliklerini sağlamak amacı ile yöntemler belirlenmiş midir? İzleme kayıtları tutulmakta ve etkin olarak yürütülmekte midir?</t>
  </si>
  <si>
    <t>9.1.1.1</t>
  </si>
  <si>
    <t xml:space="preserve">Kalite Sistem Yöneticisi, Üretim &amp; Tasarım Yöneticisi ,Lab. Sorumlusu
</t>
  </si>
  <si>
    <t>D8.2 P2.01 Ürünlerin İzlenmesi ve Ölçülmesi Prosedürü</t>
  </si>
  <si>
    <t>Özel karakteristikler için SPC izlemesi yapılmakta mıdır? Cpk değeri&lt;1.67 olan özellikler için %100 kontrol uygulanmakta mıdır? Kayıtları etkin olarak tutulmakta mıdır?</t>
  </si>
  <si>
    <t>9.1.1.2</t>
  </si>
  <si>
    <t>D8.2 P2.01 Ürünlerin İzlenmesi ve Ölçülmesi ProsedürüSPC uygulanmakta ve kayıtları mevcuttur. Kontak Mili ürünlerinde %100 otomatik ölçüm cihazında kontrol edilmektedir.Mastar kontrol uygulamaları mevcuttur.</t>
  </si>
  <si>
    <t>Belirlenen istatistiksel yöntemler için görev ve sorumluluklar tanımlanmış ve personel yetkinlikleri ile eğitimleri yeterli midir? Eğitim kayıtları tutulmakta mıdır?</t>
  </si>
  <si>
    <t>9.1.1.3</t>
  </si>
  <si>
    <t>Kalite Sistem Yöneticisi, Personel Sorumlusu</t>
  </si>
  <si>
    <t xml:space="preserve">Müşteri Memnuniyeti Ölçme Yöntemleri tanımlanmış mıdır? Değerlendirmeleri yapılmakta mıdır? </t>
  </si>
  <si>
    <t xml:space="preserve">Satış&amp;Proje Yön.
Kalite Sis. Yön.
Üretim&amp;Tasarım Yön.
</t>
  </si>
  <si>
    <t>Tüm prosesler gözden geçirilmekte ve aksiyon planında önceliklendirme yaılmakta ve bunlar için kaynak planlamaası yapılmakta mıdır?</t>
  </si>
  <si>
    <t>37-39-40</t>
  </si>
  <si>
    <t>10.3.1</t>
  </si>
  <si>
    <t xml:space="preserve">
Genel Müdür,Kalite Sis. Yön., İlgili Proses SAhipleri
</t>
  </si>
  <si>
    <t>Y02 Yönetim Sorumluluğu Prosesi</t>
  </si>
  <si>
    <t>Ana Referansı:Y02.1 P01 Finans Yönetimi Prosedürü-Y02.1 P02 Muhasebe Yönetimi Prosedürü -Y02.2 P01 Strateji Yönetimi ve Kurumsal İletişim Prosedürü-Y02.2 P02 SWOT Analizi  Prosedürü-Y02.2 P03 Acil Durum Önlem Planı Prosedürü-Y02.2 P04 Stratejik Planlama İle Risklerin ve Fırsatların Yönetimi Prosedürü-Y02.3 P01 Risk Yönetimi Prosedürü-Y02.5 P01 Yönetim Gözden Geçirme Prosedürü</t>
  </si>
  <si>
    <t>Genel Müdür-D.Altuntaş-D.İnceoğlu</t>
  </si>
  <si>
    <t>Denetim Tarihi ve Kodu:  02.05.2025</t>
  </si>
  <si>
    <t>Y02.3 F03 YÖNETİM SORUMLULUĞU RİSK DEĞERLENDİRME raporu içerisinde kamplumbağa diyagramı ve risk değerlendirmeleri mevcuttur.</t>
  </si>
  <si>
    <t>Y02.2 P01 Strateji Yönetimi ve Kurumsal İletişim Prosedürü+D4.3 T01 İletişim Talimatı</t>
  </si>
  <si>
    <t>Y01 P03 Değişikliklerin Yönetimi Prosedürü-Y01 F06 Ürün Proses Değişiklik İzleme Listesi</t>
  </si>
  <si>
    <t>Günlük QRQC toplantıları,aylık performans parametreleri takibi  ve yıllık olarak YGG de gözden geçirilmektedir.</t>
  </si>
  <si>
    <t>2024 yılında 4 ad Proses denetimi gerçekleştirilmiş.D8.6 F02 Proses Denetimi 564327-698637-15.08.2024
Tüm süreçlerin iç denetimleri gerçekleştirilmiştir. Denetim planına uygunluk vardır.D2 İnsan Kaynakları Yön_08.05.2024 denetim raporyu mevcuttur. 1 adetiyileştirme tespit edidliği görüldü.</t>
  </si>
  <si>
    <t>QLTT 07 Düzeltici faaliyetler düzenlenmekte ve tüm  Listede takip edilmektedir.Müşteri Şikayeti - 00000134 nolu 8D raporuQLTT07 incelenmiştir.</t>
  </si>
  <si>
    <t>YGG raporları mevcuttur.</t>
  </si>
  <si>
    <t>Onur Yalçın-Güllü Ünlü</t>
  </si>
  <si>
    <t>Y02.3 F03 YÖNETİM SORUMLULUĞU RİSK DEĞERLENDİRME raporunda ilgili kişiler tanımlıdır.</t>
  </si>
  <si>
    <t>Organizasyonun farkındalıkları mevcuttur.D01.1 F.01 Personel Yetkinlik İzleme Tablosu 2025 Beyaz yaka yetkinlik indeksi 2025 1. dönem %97.18</t>
  </si>
  <si>
    <t xml:space="preserve">KEK ında K01- Bölüm 01- Stratejik Planlama Tabloları </t>
  </si>
  <si>
    <t>Tüm süreçler için 8D düzüenlenmektedir. QLTT07 de Müşteri-tedarikçi-üretimin sağlanması gibi durumlardan gelen uygunsuzluklar için 8d düzenlendiği görüldü.00000134 numaralı 8D raporu müşteri şikayetiparçada çapak sebebi lie düznelnemiş ve tamamlanıp kapatılmıştır.</t>
  </si>
  <si>
    <t>KEK ında K01- Bölüm 01- Stratejik Planlama Tabloları</t>
  </si>
  <si>
    <t>K01 ENTEGRE YÖNETİM SİSTEMLERİ EL KİTABI - T2 F10 Müşteri Özel İstekleri Tablosu nda tanımlıdır</t>
  </si>
  <si>
    <t>Y02.3 F03 YÖNETİM SORUMLULUĞU RİSK DEĞERLENDİRME raporu içerisinde kamplumbağa diyagramı ve risk değerlendirmeleri mevcuttur.
K01 ENTEGRE YÖNETİM SİSTEMLERİ EL KİTABI proses haritasına uygun ilişkilendirmeler yapılmış olduğu görüldü.</t>
  </si>
  <si>
    <t>K01 ENTEGRE YÖNETİM SİSTEMLERİ EL KİTABI - K01- Bölüm 07- Debak Kurumsal Karne  de tanımlanmıştır</t>
  </si>
  <si>
    <t>Y02.2 P01 Strateji Yönetimi ve Kurumsal İletişim Prosedürü-Y02.2 P02 SWOT Analizi  Prosedürü-Y02.2 P03 Acil Durum Önlem Planı Prosedürü-Y02.2 P04 Stratejik Planlama İle Risklerin ve Fırsatların Yönetimi Prosedürü-Y02.3 P01 Risk Yönetimi Prosedürü</t>
  </si>
  <si>
    <t>Y02.2 P03 Acil Durum Önlem Planı Prosedürü Risk analizlerinden çıkan verileri ve güncel&amp;doğal afet vb  durumları da içermektedir.</t>
  </si>
  <si>
    <t>K01 ENTEGRE YÖNETİM SİSTEMLERİ EL KİTABI</t>
  </si>
  <si>
    <t>D4.3 T01 İletişim Talimatı-Y02.2 P01 Strateji Yönetimi ve Kurumsal İletişim Prosedürü tanımlanmıştır</t>
  </si>
  <si>
    <t>K01- Bölüm 01- Stratejik Planlama Tabloları içerisinde SWOT Analizi çalışmları gerçekleştirilmiş ve yıllık YGG de değerlendirilmiştir.</t>
  </si>
  <si>
    <t>K01 ENTEGRE YÖNETİM SİSTEMLERİ EL KİTABI - K01- Bölüm 07- Debak Kurumsal Karne  de tanımlanmıştır yıllık veriler kontrol edilerek hedefini yakalamayanlar için aksiyonlar ve iyileştirmeler takip edilmektedir.</t>
  </si>
  <si>
    <t>Y02.1 P01 Finans Yönetimi Prosedürü-Y02.1 P02 Muhasebe Yönetimi Prosedürü</t>
  </si>
  <si>
    <t>Tüm evrakların girişi Canias üzerinden yapıldığı görüldü</t>
  </si>
  <si>
    <t>Y02.1 P01 Finans Yönetimi Prosedürü-Y02.1 P02 Muhasebe Yönetimi Prosedürü tanımlanmıştır.</t>
  </si>
  <si>
    <t>KEK ında K01- Bölüm 01- Stratejik Planlama Tabloları taraflar tanımlanmıştır. Beklenti ve ihtiyaçlar tanımlıdır.</t>
  </si>
  <si>
    <t>QLTT 07 Düzeltici faaliyetler düzenlenmekte ve tüm  Listede takip edilmektedir. Y01 süreci ile ilgili 8D olmadığı görüldü.</t>
  </si>
  <si>
    <t>K01 ENTEGRE YÖNETİM SİSTEMLERİ EL KİTABI - K01- Bölüm 07- Debak Kurumsal Karne  de tanımlanmıştır. Prosedürlerde sorumluların belirlendiği görüldü.</t>
  </si>
  <si>
    <t xml:space="preserve">Y02.2 P01 Strateji Yönetimi ve Kurumsal İletişim Prosedürü-Y02.2 P02 SWOT Analizi  Prosedürü mevcuttur.Y02.3 F03 YÖNETİM SORUMLULUĞU RİSK DEĞERLENDİRME raporu içerisinde kamplumbağa diyagramı ve risk değerlendirmeleri mevcuttur. </t>
  </si>
  <si>
    <t>Y1 P3 Değişikliklerin Yönetimi Prosedürü</t>
  </si>
  <si>
    <t>Düzeltici ve önleyici, aksiyonlar alınmaktadır ve tüm düzeltici aksiyonlar performasn listesinde aylık olarak takip eidlemkete, diğre 8D ler Canias QLTT07 de takip edilemketedir.</t>
  </si>
  <si>
    <t>Müşteri memnuniyeti ölçülmektedir. Canias  Salt72 Müşteri Teslimat ve kalite değerlendirmesi gözlendi.Tüm Süreçler Performans İzleme Tablosu 2025</t>
  </si>
  <si>
    <t>Y02.2 P01 Strateji Yönetimi ve Kurumsal İletişim Prosedürü+Y02.4 T01 İletişim Talimatı</t>
  </si>
  <si>
    <t>Y02.5 P01 Yönetim Gözden Geçirme Prosedürü+ YGG 2024 raporu incelendi. 2025 YGG denetim sonrası W20 hafta planlandığı görüldü.</t>
  </si>
  <si>
    <t>Canias TRNT21 eğitim kayıtları mevcuttur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</si>
</sst>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0"/>
      <name val="Arial"/>
      <family val="2"/>
      <charset val="162"/>
    </font>
    <font>
      <b/>
      <sz val="16"/>
      <name val="Arial"/>
      <family val="2"/>
      <charset val="162"/>
    </font>
    <font>
      <b/>
      <sz val="11"/>
      <name val="Arial"/>
      <family val="2"/>
      <charset val="162"/>
    </font>
    <font>
      <sz val="10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sz val="7"/>
      <color theme="1"/>
      <name val="Arial"/>
      <family val="2"/>
      <charset val="162"/>
    </font>
    <font>
      <sz val="6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22"/>
      <name val="Arial Tur"/>
      <charset val="162"/>
    </font>
    <font>
      <b/>
      <sz val="12"/>
      <name val="Arial"/>
      <family val="2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sz val="9"/>
      <color theme="1"/>
      <name val="Arial"/>
      <family val="2"/>
      <charset val="162"/>
    </font>
    <font>
      <sz val="11"/>
      <name val="Arial"/>
      <family val="2"/>
      <charset val="162"/>
    </font>
    <font>
      <b/>
      <sz val="14"/>
      <name val="Arial Tur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8">
    <xf numFmtId="0" fontId="0" fillId="0" borderId="0" xfId="0"/>
    <xf numFmtId="0" fontId="2" fillId="0" borderId="0" xfId="0" applyFont="1"/>
    <xf numFmtId="0" fontId="6" fillId="2" borderId="2" xfId="0" applyFont="1" applyFill="1" applyBorder="1" applyAlignment="1">
      <alignment horizontal="left" vertical="center"/>
    </xf>
    <xf numFmtId="49" fontId="7" fillId="3" borderId="4" xfId="0" applyNumberFormat="1" applyFont="1" applyFill="1" applyBorder="1"/>
    <xf numFmtId="0" fontId="4" fillId="3" borderId="6" xfId="0" applyFont="1" applyFill="1" applyBorder="1" applyAlignment="1">
      <alignment horizontal="center" vertical="center"/>
    </xf>
    <xf numFmtId="49" fontId="7" fillId="3" borderId="5" xfId="0" applyNumberFormat="1" applyFont="1" applyFill="1" applyBorder="1"/>
    <xf numFmtId="0" fontId="2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2" fillId="0" borderId="6" xfId="0" applyFont="1" applyBorder="1"/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4" fillId="4" borderId="6" xfId="0" applyFont="1" applyFill="1" applyBorder="1" applyAlignment="1">
      <alignment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0" xfId="0" applyFont="1"/>
    <xf numFmtId="49" fontId="9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6" xfId="0" quotePrefix="1" applyFont="1" applyFill="1" applyBorder="1" applyAlignment="1">
      <alignment horizontal="left" vertical="center" wrapText="1"/>
    </xf>
    <xf numFmtId="0" fontId="4" fillId="4" borderId="6" xfId="0" quotePrefix="1" applyFont="1" applyFill="1" applyBorder="1" applyAlignment="1">
      <alignment horizontal="left" vertical="center" wrapText="1"/>
    </xf>
    <xf numFmtId="49" fontId="7" fillId="0" borderId="6" xfId="0" quotePrefix="1" applyNumberFormat="1" applyFont="1" applyBorder="1" applyAlignment="1">
      <alignment horizontal="center" vertical="center" wrapText="1"/>
    </xf>
    <xf numFmtId="16" fontId="7" fillId="4" borderId="6" xfId="0" quotePrefix="1" applyNumberFormat="1" applyFont="1" applyFill="1" applyBorder="1" applyAlignment="1">
      <alignment horizontal="center" vertical="center" wrapText="1"/>
    </xf>
    <xf numFmtId="49" fontId="7" fillId="4" borderId="6" xfId="0" quotePrefix="1" applyNumberFormat="1" applyFont="1" applyFill="1" applyBorder="1" applyAlignment="1">
      <alignment horizontal="center" vertical="center" wrapText="1"/>
    </xf>
    <xf numFmtId="49" fontId="4" fillId="4" borderId="6" xfId="0" quotePrefix="1" applyNumberFormat="1" applyFont="1" applyFill="1" applyBorder="1" applyAlignment="1">
      <alignment horizontal="center" vertical="center" wrapText="1"/>
    </xf>
    <xf numFmtId="49" fontId="9" fillId="0" borderId="1" xfId="0" quotePrefix="1" applyNumberFormat="1" applyFont="1" applyBorder="1" applyAlignment="1">
      <alignment horizontal="left" vertical="center" wrapText="1"/>
    </xf>
    <xf numFmtId="0" fontId="7" fillId="4" borderId="6" xfId="0" quotePrefix="1" applyFont="1" applyFill="1" applyBorder="1" applyAlignment="1">
      <alignment horizontal="center" vertical="center" wrapText="1"/>
    </xf>
    <xf numFmtId="0" fontId="6" fillId="2" borderId="2" xfId="0" quotePrefix="1" applyFont="1" applyFill="1" applyBorder="1" applyAlignment="1">
      <alignment vertical="center"/>
    </xf>
    <xf numFmtId="0" fontId="2" fillId="2" borderId="2" xfId="0" applyFont="1" applyFill="1" applyBorder="1"/>
    <xf numFmtId="49" fontId="6" fillId="2" borderId="1" xfId="0" quotePrefix="1" applyNumberFormat="1" applyFont="1" applyFill="1" applyBorder="1" applyAlignment="1">
      <alignment horizontal="left" vertical="center"/>
    </xf>
    <xf numFmtId="0" fontId="3" fillId="2" borderId="2" xfId="0" quotePrefix="1" applyFont="1" applyFill="1" applyBorder="1" applyAlignment="1">
      <alignment horizontal="left" vertical="center"/>
    </xf>
    <xf numFmtId="0" fontId="13" fillId="0" borderId="6" xfId="0" quotePrefix="1" applyFont="1" applyBorder="1" applyAlignment="1">
      <alignment horizontal="center" vertical="center"/>
    </xf>
    <xf numFmtId="0" fontId="14" fillId="5" borderId="0" xfId="0" applyFont="1" applyFill="1"/>
    <xf numFmtId="0" fontId="0" fillId="5" borderId="0" xfId="0" applyFill="1"/>
    <xf numFmtId="0" fontId="15" fillId="5" borderId="0" xfId="0" applyFont="1" applyFill="1"/>
    <xf numFmtId="0" fontId="16" fillId="5" borderId="0" xfId="0" applyFont="1" applyFill="1"/>
    <xf numFmtId="0" fontId="4" fillId="3" borderId="10" xfId="0" applyFont="1" applyFill="1" applyBorder="1" applyAlignment="1">
      <alignment horizontal="left"/>
    </xf>
    <xf numFmtId="0" fontId="0" fillId="3" borderId="12" xfId="0" applyFill="1" applyBorder="1"/>
    <xf numFmtId="0" fontId="0" fillId="3" borderId="9" xfId="0" applyFill="1" applyBorder="1"/>
    <xf numFmtId="0" fontId="4" fillId="5" borderId="0" xfId="0" applyFont="1" applyFill="1" applyAlignment="1">
      <alignment horizontal="left"/>
    </xf>
    <xf numFmtId="0" fontId="0" fillId="3" borderId="8" xfId="0" applyFill="1" applyBorder="1"/>
    <xf numFmtId="0" fontId="0" fillId="3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4" fillId="5" borderId="0" xfId="0" applyFont="1" applyFill="1"/>
    <xf numFmtId="0" fontId="4" fillId="3" borderId="0" xfId="0" applyFont="1" applyFill="1"/>
    <xf numFmtId="0" fontId="0" fillId="3" borderId="0" xfId="0" applyFill="1"/>
    <xf numFmtId="14" fontId="0" fillId="3" borderId="0" xfId="0" applyNumberFormat="1" applyFill="1"/>
    <xf numFmtId="0" fontId="7" fillId="4" borderId="1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1" fillId="2" borderId="2" xfId="0" applyFont="1" applyFill="1" applyBorder="1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/>
    <xf numFmtId="49" fontId="11" fillId="0" borderId="1" xfId="0" quotePrefix="1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" fillId="0" borderId="6" xfId="0" quotePrefix="1" applyFont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/>
    </xf>
    <xf numFmtId="0" fontId="4" fillId="0" borderId="6" xfId="0" quotePrefix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7" fillId="0" borderId="6" xfId="0" quotePrefix="1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15" fillId="2" borderId="2" xfId="0" applyFont="1" applyFill="1" applyBorder="1" applyAlignment="1">
      <alignment horizontal="center" wrapText="1"/>
    </xf>
    <xf numFmtId="0" fontId="15" fillId="2" borderId="3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49" fontId="6" fillId="2" borderId="1" xfId="0" quotePrefix="1" applyNumberFormat="1" applyFont="1" applyFill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left" vertical="center" wrapText="1"/>
    </xf>
    <xf numFmtId="0" fontId="6" fillId="2" borderId="2" xfId="0" quotePrefix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3" borderId="7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6" fillId="3" borderId="10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7" xfId="0" applyFill="1" applyBorder="1" applyAlignment="1">
      <alignment horizontal="left" wrapText="1"/>
    </xf>
    <xf numFmtId="0" fontId="0" fillId="3" borderId="11" xfId="0" applyFill="1" applyBorder="1" applyAlignment="1">
      <alignment horizontal="left" wrapText="1"/>
    </xf>
    <xf numFmtId="0" fontId="0" fillId="3" borderId="8" xfId="0" applyFill="1" applyBorder="1" applyAlignment="1">
      <alignment horizontal="left" wrapText="1"/>
    </xf>
    <xf numFmtId="0" fontId="0" fillId="3" borderId="10" xfId="0" applyFill="1" applyBorder="1" applyAlignment="1">
      <alignment horizontal="left" wrapText="1"/>
    </xf>
    <xf numFmtId="0" fontId="0" fillId="3" borderId="12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0" fillId="3" borderId="7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left"/>
    </xf>
    <xf numFmtId="0" fontId="7" fillId="4" borderId="1" xfId="0" quotePrefix="1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17" fillId="4" borderId="1" xfId="0" quotePrefix="1" applyFont="1" applyFill="1" applyBorder="1" applyAlignment="1">
      <alignment vertical="center" wrapText="1"/>
    </xf>
    <xf numFmtId="0" fontId="17" fillId="4" borderId="3" xfId="0" quotePrefix="1" applyFont="1" applyFill="1" applyBorder="1" applyAlignment="1">
      <alignment vertical="center" wrapText="1"/>
    </xf>
    <xf numFmtId="0" fontId="17" fillId="4" borderId="1" xfId="0" quotePrefix="1" applyFont="1" applyFill="1" applyBorder="1" applyAlignment="1">
      <alignment horizontal="left" vertical="center" wrapText="1"/>
    </xf>
    <xf numFmtId="0" fontId="17" fillId="4" borderId="3" xfId="0" quotePrefix="1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vertical="center" wrapText="1"/>
    </xf>
    <xf numFmtId="0" fontId="17" fillId="4" borderId="3" xfId="0" applyFont="1" applyFill="1" applyBorder="1" applyAlignment="1">
      <alignment vertical="center" wrapText="1"/>
    </xf>
    <xf numFmtId="0" fontId="7" fillId="4" borderId="1" xfId="0" quotePrefix="1" applyFont="1" applyFill="1" applyBorder="1" applyAlignment="1">
      <alignment vertical="center" wrapText="1"/>
    </xf>
    <xf numFmtId="0" fontId="7" fillId="4" borderId="3" xfId="0" quotePrefix="1" applyFont="1" applyFill="1" applyBorder="1" applyAlignment="1">
      <alignment vertical="center" wrapText="1"/>
    </xf>
    <xf numFmtId="0" fontId="7" fillId="4" borderId="3" xfId="0" quotePrefix="1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theme="0" tint="-0.34998626667073579"/>
        </patternFill>
      </fill>
    </dxf>
  </dxfs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B1:O101"/>
  <sheetViews>
    <sheetView showGridLines="0" tabSelected="1" zoomScale="85" zoomScaleNormal="85" workbookViewId="0">
      <pane ySplit="6" topLeftCell="A85" activePane="bottomLeft" state="frozen"/>
      <selection pane="bottomLeft" activeCell="I30" sqref="I30:J30"/>
    </sheetView>
  </sheetViews>
  <sheetFormatPr defaultColWidth="9.109375" defaultRowHeight="13.8" x14ac:dyDescent="0.25"/>
  <cols>
    <col min="1" max="1" width="3.44140625" style="1" customWidth="1"/>
    <col min="2" max="2" width="4" style="9" customWidth="1"/>
    <col min="3" max="3" width="5.109375" style="1" customWidth="1"/>
    <col min="4" max="4" width="71.33203125" style="1" customWidth="1"/>
    <col min="5" max="5" width="6.109375" style="1" customWidth="1"/>
    <col min="6" max="6" width="5.44140625" style="1" customWidth="1"/>
    <col min="7" max="7" width="5.5546875" style="11" customWidth="1"/>
    <col min="8" max="8" width="15.44140625" style="11" customWidth="1"/>
    <col min="9" max="9" width="13.6640625" style="1" customWidth="1"/>
    <col min="10" max="10" width="36.88671875" style="1" customWidth="1"/>
    <col min="11" max="14" width="5.109375" style="1" customWidth="1"/>
    <col min="15" max="15" width="4.33203125" style="1" customWidth="1"/>
    <col min="16" max="16384" width="9.109375" style="1"/>
  </cols>
  <sheetData>
    <row r="1" spans="2:15" ht="6.75" customHeight="1" x14ac:dyDescent="0.25"/>
    <row r="2" spans="2:15" ht="21" x14ac:dyDescent="0.4">
      <c r="C2" s="16" t="s">
        <v>0</v>
      </c>
      <c r="D2" s="16"/>
      <c r="E2" s="17"/>
      <c r="F2" s="17"/>
      <c r="G2" s="85" t="s">
        <v>36</v>
      </c>
      <c r="H2" s="86"/>
      <c r="I2" s="38" t="s">
        <v>149</v>
      </c>
      <c r="J2" s="17"/>
      <c r="K2" s="17"/>
      <c r="L2" s="17"/>
      <c r="M2" s="17"/>
      <c r="N2" s="17"/>
      <c r="O2" s="18"/>
    </row>
    <row r="3" spans="2:15" ht="21" x14ac:dyDescent="0.4">
      <c r="C3" s="40" t="s">
        <v>152</v>
      </c>
      <c r="D3" s="13"/>
      <c r="E3" s="14"/>
      <c r="F3" s="14"/>
      <c r="G3" s="2" t="s">
        <v>12</v>
      </c>
      <c r="H3" s="14"/>
      <c r="I3" s="2" t="s">
        <v>160</v>
      </c>
      <c r="J3" s="60"/>
      <c r="K3" s="14"/>
      <c r="L3" s="14"/>
      <c r="M3" s="14"/>
      <c r="N3" s="14"/>
      <c r="O3" s="15"/>
    </row>
    <row r="4" spans="2:15" ht="75.75" customHeight="1" x14ac:dyDescent="0.25">
      <c r="C4" s="83" t="s">
        <v>150</v>
      </c>
      <c r="D4" s="84"/>
      <c r="E4" s="28"/>
      <c r="F4" s="28"/>
      <c r="G4" s="2" t="s">
        <v>35</v>
      </c>
      <c r="H4" s="2"/>
      <c r="I4" s="41" t="s">
        <v>151</v>
      </c>
      <c r="J4" s="39"/>
      <c r="K4" s="72" t="s">
        <v>100</v>
      </c>
      <c r="L4" s="72"/>
      <c r="M4" s="72"/>
      <c r="N4" s="72"/>
      <c r="O4" s="73"/>
    </row>
    <row r="5" spans="2:15" ht="15" customHeight="1" x14ac:dyDescent="0.25">
      <c r="B5" s="89" t="s">
        <v>11</v>
      </c>
      <c r="C5" s="96" t="s">
        <v>8</v>
      </c>
      <c r="D5" s="87" t="s">
        <v>39</v>
      </c>
      <c r="E5" s="98" t="s">
        <v>40</v>
      </c>
      <c r="F5" s="87" t="s">
        <v>37</v>
      </c>
      <c r="G5" s="94" t="s">
        <v>7</v>
      </c>
      <c r="H5" s="94" t="s">
        <v>34</v>
      </c>
      <c r="I5" s="90" t="s">
        <v>1</v>
      </c>
      <c r="J5" s="91"/>
      <c r="K5" s="78" t="s">
        <v>2</v>
      </c>
      <c r="L5" s="79"/>
      <c r="M5" s="79"/>
      <c r="N5" s="80"/>
      <c r="O5" s="3" t="s">
        <v>9</v>
      </c>
    </row>
    <row r="6" spans="2:15" ht="15" customHeight="1" x14ac:dyDescent="0.25">
      <c r="B6" s="89"/>
      <c r="C6" s="97"/>
      <c r="D6" s="88"/>
      <c r="E6" s="99"/>
      <c r="F6" s="88"/>
      <c r="G6" s="95"/>
      <c r="H6" s="95"/>
      <c r="I6" s="92"/>
      <c r="J6" s="93"/>
      <c r="K6" s="4" t="s">
        <v>3</v>
      </c>
      <c r="L6" s="4" t="s">
        <v>4</v>
      </c>
      <c r="M6" s="4" t="s">
        <v>5</v>
      </c>
      <c r="N6" s="4" t="s">
        <v>6</v>
      </c>
      <c r="O6" s="5" t="s">
        <v>10</v>
      </c>
    </row>
    <row r="7" spans="2:15" ht="52.8" x14ac:dyDescent="0.25">
      <c r="B7" s="10">
        <v>1</v>
      </c>
      <c r="C7" s="6">
        <v>1</v>
      </c>
      <c r="D7" s="7" t="str">
        <f>I2&amp; " süreci;"&amp; "girdi prosesleri, girdileri, çıktıları, çıktı prosesleri, işlemleri, işlemlerin yürütülme şekli, organizasyonu, altyapısı, riskleri, olası değişiklikleri, iyileştirme için performans parametreleri tanımlanmış mıdır? DOKÜMANTE BİLGİ (4.4.1)"</f>
        <v>Y02 Yönetim Sorumluluğu Prosesi süreci;girdi prosesleri, girdileri, çıktıları, çıktı prosesleri, işlemleri, işlemlerin yürütülme şekli, organizasyonu, altyapısı, riskleri, olası değişiklikleri, iyileştirme için performans parametreleri tanımlanmış mıdır? DOKÜMANTE BİLGİ (4.4.1)</v>
      </c>
      <c r="E7" s="7"/>
      <c r="F7" s="23"/>
      <c r="G7" s="12" t="s">
        <v>13</v>
      </c>
      <c r="H7" s="22" t="str">
        <f t="shared" ref="H7:H12" si="0">$I$4</f>
        <v>Genel Müdür-D.Altuntaş-D.İnceoğlu</v>
      </c>
      <c r="I7" s="115" t="s">
        <v>153</v>
      </c>
      <c r="J7" s="116"/>
      <c r="K7" s="42" t="s">
        <v>88</v>
      </c>
      <c r="L7" s="8"/>
      <c r="M7" s="8"/>
      <c r="N7" s="8"/>
      <c r="O7" s="8"/>
    </row>
    <row r="8" spans="2:15" ht="28.2" customHeight="1" x14ac:dyDescent="0.25">
      <c r="B8" s="9">
        <v>1</v>
      </c>
      <c r="C8" s="6">
        <v>2</v>
      </c>
      <c r="D8" s="7" t="str">
        <f>I2&amp; " süreci;"&amp; " için risk ve fırsatları belirleme faaliyetleri gerçekleştirilmekte midir?"</f>
        <v>Y02 Yönetim Sorumluluğu Prosesi süreci; için risk ve fırsatları belirleme faaliyetleri gerçekleştirilmekte midir?</v>
      </c>
      <c r="E8" s="7"/>
      <c r="F8" s="23"/>
      <c r="G8" s="12" t="s">
        <v>15</v>
      </c>
      <c r="H8" s="22" t="str">
        <f t="shared" si="0"/>
        <v>Genel Müdür-D.Altuntaş-D.İnceoğlu</v>
      </c>
      <c r="I8" s="115" t="s">
        <v>153</v>
      </c>
      <c r="J8" s="116"/>
      <c r="K8" s="42" t="s">
        <v>88</v>
      </c>
      <c r="L8" s="8"/>
      <c r="M8" s="8"/>
      <c r="N8" s="8"/>
      <c r="O8" s="8"/>
    </row>
    <row r="9" spans="2:15" ht="28.2" customHeight="1" x14ac:dyDescent="0.25">
      <c r="B9" s="9">
        <v>1</v>
      </c>
      <c r="C9" s="6">
        <v>3</v>
      </c>
      <c r="D9" s="7" t="str">
        <f>I2&amp; " süreci;"&amp; " için amaçlar ve bu amaçlara ulaşmak için aksiyonlar belirlenmiş midir? DOKÜMANTE BİLGİ (6.2.1)"</f>
        <v>Y02 Yönetim Sorumluluğu Prosesi süreci; için amaçlar ve bu amaçlara ulaşmak için aksiyonlar belirlenmiş midir? DOKÜMANTE BİLGİ (6.2.1)</v>
      </c>
      <c r="E9" s="7"/>
      <c r="F9" s="23"/>
      <c r="G9" s="12" t="s">
        <v>14</v>
      </c>
      <c r="H9" s="22" t="str">
        <f t="shared" si="0"/>
        <v>Genel Müdür-D.Altuntaş-D.İnceoğlu</v>
      </c>
      <c r="I9" s="115" t="s">
        <v>153</v>
      </c>
      <c r="J9" s="116"/>
      <c r="K9" s="42" t="s">
        <v>88</v>
      </c>
      <c r="L9" s="8"/>
      <c r="M9" s="8"/>
      <c r="N9" s="8"/>
      <c r="O9" s="8"/>
    </row>
    <row r="10" spans="2:15" ht="28.2" x14ac:dyDescent="0.25">
      <c r="B10" s="9">
        <v>1</v>
      </c>
      <c r="C10" s="6">
        <v>4</v>
      </c>
      <c r="D10" s="7" t="str">
        <f>I2&amp; " süreci;"&amp; " için sistematik olarak değişiklikler belirleniyor mu?"</f>
        <v>Y02 Yönetim Sorumluluğu Prosesi süreci; için sistematik olarak değişiklikler belirleniyor mu?</v>
      </c>
      <c r="E10" s="7"/>
      <c r="F10" s="23"/>
      <c r="G10" s="12" t="s">
        <v>16</v>
      </c>
      <c r="H10" s="22" t="str">
        <f t="shared" si="0"/>
        <v>Genel Müdür-D.Altuntaş-D.İnceoğlu</v>
      </c>
      <c r="I10" s="76" t="s">
        <v>155</v>
      </c>
      <c r="J10" s="77"/>
      <c r="K10" s="42" t="s">
        <v>88</v>
      </c>
      <c r="L10" s="8"/>
      <c r="M10" s="8"/>
      <c r="N10" s="8"/>
      <c r="O10" s="8"/>
    </row>
    <row r="11" spans="2:15" ht="28.2" customHeight="1" x14ac:dyDescent="0.25">
      <c r="B11" s="9">
        <v>1</v>
      </c>
      <c r="C11" s="6">
        <v>5</v>
      </c>
      <c r="D11" s="7" t="str">
        <f>I2&amp; " süreci;"&amp; " etkili bir iletişim planı var mıdır, bu plana göre etkili iletişimler gerçekleştirilmekte midir"</f>
        <v>Y02 Yönetim Sorumluluğu Prosesi süreci; etkili bir iletişim planı var mıdır, bu plana göre etkili iletişimler gerçekleştirilmekte midir</v>
      </c>
      <c r="E11" s="7"/>
      <c r="F11" s="23"/>
      <c r="G11" s="12" t="s">
        <v>21</v>
      </c>
      <c r="H11" s="22" t="str">
        <f t="shared" si="0"/>
        <v>Genel Müdür-D.Altuntaş-D.İnceoğlu</v>
      </c>
      <c r="I11" s="74" t="s">
        <v>154</v>
      </c>
      <c r="J11" s="75"/>
      <c r="K11" s="42" t="s">
        <v>88</v>
      </c>
      <c r="L11" s="8"/>
      <c r="M11" s="8"/>
      <c r="N11" s="8"/>
      <c r="O11" s="8"/>
    </row>
    <row r="12" spans="2:15" ht="56.25" customHeight="1" x14ac:dyDescent="0.25">
      <c r="B12" s="9">
        <v>1</v>
      </c>
      <c r="C12" s="6">
        <v>6</v>
      </c>
      <c r="D12" s="7" t="str">
        <f>I2&amp; " süreci;"&amp; " iç tetkikleri, iç tetkik posedürüne uygun olarak olarak gerçekleştiriliyor mu, tetkik sonuçları iyileştirme faaliyetleri için girdi olarak kullanılıyor mu? DOKÜMANTE BİLGİ (9.2.2.f)"</f>
        <v>Y02 Yönetim Sorumluluğu Prosesi süreci; iç tetkikleri, iç tetkik posedürüne uygun olarak olarak gerçekleştiriliyor mu, tetkik sonuçları iyileştirme faaliyetleri için girdi olarak kullanılıyor mu? DOKÜMANTE BİLGİ (9.2.2.f)</v>
      </c>
      <c r="E12" s="7"/>
      <c r="F12" s="23"/>
      <c r="G12" s="12" t="s">
        <v>17</v>
      </c>
      <c r="H12" s="22" t="str">
        <f t="shared" si="0"/>
        <v>Genel Müdür-D.Altuntaş-D.İnceoğlu</v>
      </c>
      <c r="I12" s="117" t="s">
        <v>157</v>
      </c>
      <c r="J12" s="118"/>
      <c r="K12" s="42" t="s">
        <v>88</v>
      </c>
      <c r="L12" s="8"/>
      <c r="M12" s="8"/>
      <c r="N12" s="8"/>
      <c r="O12" s="8"/>
    </row>
    <row r="13" spans="2:15" ht="28.2" customHeight="1" x14ac:dyDescent="0.25">
      <c r="B13" s="9">
        <v>1</v>
      </c>
      <c r="C13" s="6">
        <v>7</v>
      </c>
      <c r="D13" s="7" t="str">
        <f>I2&amp; " süreci "&amp;  "belirlenen aralıklarda gözden geçiriliyor mu? DOKÜMANTE BİLGİ (9.3.3)"</f>
        <v>Y02 Yönetim Sorumluluğu Prosesi süreci belirlenen aralıklarda gözden geçiriliyor mu? DOKÜMANTE BİLGİ (9.3.3)</v>
      </c>
      <c r="E13" s="7"/>
      <c r="F13" s="23"/>
      <c r="G13" s="12" t="s">
        <v>18</v>
      </c>
      <c r="H13" s="22" t="str">
        <f t="shared" ref="H13:H24" si="1">$I$4</f>
        <v>Genel Müdür-D.Altuntaş-D.İnceoğlu</v>
      </c>
      <c r="I13" s="119" t="s">
        <v>156</v>
      </c>
      <c r="J13" s="120"/>
      <c r="K13" s="42" t="s">
        <v>88</v>
      </c>
      <c r="L13" s="8"/>
      <c r="M13" s="8"/>
      <c r="N13" s="8"/>
      <c r="O13" s="8"/>
    </row>
    <row r="14" spans="2:15" ht="43.2" customHeight="1" x14ac:dyDescent="0.25">
      <c r="B14" s="9">
        <v>1</v>
      </c>
      <c r="C14" s="6">
        <v>8</v>
      </c>
      <c r="D14" s="7" t="str">
        <f>I2&amp; " süreci "&amp; " ile ilgili uygunsuzlar için etkili düzeltici faaliyetler gerçekleştiriliyor mu? DOKÜMANTE BİLGİ (10.2.2)"</f>
        <v>Y02 Yönetim Sorumluluğu Prosesi süreci  ile ilgili uygunsuzlar için etkili düzeltici faaliyetler gerçekleştiriliyor mu? DOKÜMANTE BİLGİ (10.2.2)</v>
      </c>
      <c r="E14" s="7"/>
      <c r="F14" s="23"/>
      <c r="G14" s="12" t="s">
        <v>19</v>
      </c>
      <c r="H14" s="22" t="str">
        <f t="shared" si="1"/>
        <v>Genel Müdür-D.Altuntaş-D.İnceoğlu</v>
      </c>
      <c r="I14" s="121" t="s">
        <v>158</v>
      </c>
      <c r="J14" s="122"/>
      <c r="K14" s="42" t="s">
        <v>88</v>
      </c>
      <c r="L14" s="8"/>
      <c r="M14" s="8"/>
      <c r="N14" s="8"/>
      <c r="O14" s="8"/>
    </row>
    <row r="15" spans="2:15" ht="39.6" customHeight="1" x14ac:dyDescent="0.25">
      <c r="B15" s="9">
        <v>1</v>
      </c>
      <c r="C15" s="6">
        <v>9</v>
      </c>
      <c r="D15" s="7" t="str">
        <f>I2&amp; " süreci, "&amp;  "analiz ve değerlendirmenin sonuçlarını, yönetimin gözden geçirmesi çıktılarını iyileştirme faaliyetlerini belirlemek için kullanmakta mıdır?"</f>
        <v>Y02 Yönetim Sorumluluğu Prosesi süreci, analiz ve değerlendirmenin sonuçlarını, yönetimin gözden geçirmesi çıktılarını iyileştirme faaliyetlerini belirlemek için kullanmakta mıdır?</v>
      </c>
      <c r="E15" s="7"/>
      <c r="F15" s="23"/>
      <c r="G15" s="12" t="s">
        <v>20</v>
      </c>
      <c r="H15" s="22" t="str">
        <f t="shared" si="1"/>
        <v>Genel Müdür-D.Altuntaş-D.İnceoğlu</v>
      </c>
      <c r="I15" s="74" t="s">
        <v>159</v>
      </c>
      <c r="J15" s="75"/>
      <c r="K15" s="42" t="s">
        <v>88</v>
      </c>
      <c r="L15" s="8"/>
      <c r="M15" s="8"/>
      <c r="N15" s="8"/>
      <c r="O15" s="8"/>
    </row>
    <row r="16" spans="2:15" ht="28.2" customHeight="1" x14ac:dyDescent="0.25">
      <c r="B16" s="9">
        <v>2</v>
      </c>
      <c r="C16" s="6">
        <v>10</v>
      </c>
      <c r="D16" s="7" t="str">
        <f>I2&amp; " sürecinin; "&amp;  "altyapısı için ihtiyaçları belirlenmiş, sağlanmış mıdır, prosese ait altyapının bakımları gerçekleştirilmekte midir?"</f>
        <v>Y02 Yönetim Sorumluluğu Prosesi sürecinin; altyapısı için ihtiyaçları belirlenmiş, sağlanmış mıdır, prosese ait altyapının bakımları gerçekleştirilmekte midir?</v>
      </c>
      <c r="E16" s="7"/>
      <c r="F16" s="23"/>
      <c r="G16" s="12" t="s">
        <v>22</v>
      </c>
      <c r="H16" s="22" t="str">
        <f t="shared" si="1"/>
        <v>Genel Müdür-D.Altuntaş-D.İnceoğlu</v>
      </c>
      <c r="I16" s="74" t="s">
        <v>97</v>
      </c>
      <c r="J16" s="75"/>
      <c r="K16" s="42" t="s">
        <v>88</v>
      </c>
      <c r="L16" s="8"/>
      <c r="M16" s="8"/>
      <c r="N16" s="8"/>
      <c r="O16" s="8"/>
    </row>
    <row r="17" spans="2:15" ht="28.2" customHeight="1" x14ac:dyDescent="0.25">
      <c r="B17" s="9">
        <v>2</v>
      </c>
      <c r="C17" s="6">
        <v>11</v>
      </c>
      <c r="D17" s="7" t="str">
        <f>I2&amp; " sürecinin; "&amp; "çalışmalarını etkin şekilde yürütmesi için çevre şartları sağlanmış mıdır?"</f>
        <v>Y02 Yönetim Sorumluluğu Prosesi sürecinin; çalışmalarını etkin şekilde yürütmesi için çevre şartları sağlanmış mıdır?</v>
      </c>
      <c r="E17" s="7"/>
      <c r="F17" s="23"/>
      <c r="G17" s="12" t="s">
        <v>23</v>
      </c>
      <c r="H17" s="22" t="str">
        <f t="shared" si="1"/>
        <v>Genel Müdür-D.Altuntaş-D.İnceoğlu</v>
      </c>
      <c r="I17" s="74" t="s">
        <v>97</v>
      </c>
      <c r="J17" s="75"/>
      <c r="K17" s="42" t="s">
        <v>88</v>
      </c>
      <c r="L17" s="8"/>
      <c r="M17" s="8"/>
      <c r="N17" s="8"/>
      <c r="O17" s="8"/>
    </row>
    <row r="18" spans="2:15" ht="28.2" x14ac:dyDescent="0.25">
      <c r="B18" s="9">
        <v>2</v>
      </c>
      <c r="C18" s="6">
        <v>12</v>
      </c>
      <c r="D18" s="7" t="str">
        <f>I2&amp; " sürecinin "&amp; "amaca uygun izleme ve ölçme ekipmanlarını kullanıyor, bunları tanımlıyor, izlenebilirliğini sağlıyor mu"</f>
        <v>Y02 Yönetim Sorumluluğu Prosesi sürecinin amaca uygun izleme ve ölçme ekipmanlarını kullanıyor, bunları tanımlıyor, izlenebilirliğini sağlıyor mu</v>
      </c>
      <c r="E18" s="7"/>
      <c r="F18" s="23"/>
      <c r="G18" s="12" t="s">
        <v>24</v>
      </c>
      <c r="H18" s="22" t="str">
        <f t="shared" si="1"/>
        <v>Genel Müdür-D.Altuntaş-D.İnceoğlu</v>
      </c>
      <c r="I18" s="81"/>
      <c r="J18" s="82"/>
      <c r="K18" s="42" t="s">
        <v>88</v>
      </c>
      <c r="L18" s="8"/>
      <c r="M18" s="8"/>
      <c r="N18" s="8"/>
      <c r="O18" s="8"/>
    </row>
    <row r="19" spans="2:15" ht="52.8" x14ac:dyDescent="0.25">
      <c r="B19" s="9">
        <v>2</v>
      </c>
      <c r="C19" s="6">
        <v>13</v>
      </c>
      <c r="D19" s="7" t="str">
        <f>I2&amp; " sürecinin "&amp; "ölçme ekipmanlarının uluslararası izlenebilir doğrulama ve kalibrasyon faaliyetlerini gerçekleştiriyor, doğrulama ve kalibrasyon sonuçları ile ilgili gerekli tedbirleri alıyor mu? DOKÜMANTE BİLGİ (7.1.5.1)"</f>
        <v>Y02 Yönetim Sorumluluğu Prosesi sürecinin ölçme ekipmanlarının uluslararası izlenebilir doğrulama ve kalibrasyon faaliyetlerini gerçekleştiriyor, doğrulama ve kalibrasyon sonuçları ile ilgili gerekli tedbirleri alıyor mu? DOKÜMANTE BİLGİ (7.1.5.1)</v>
      </c>
      <c r="E19" s="7"/>
      <c r="F19" s="23"/>
      <c r="G19" s="12" t="s">
        <v>24</v>
      </c>
      <c r="H19" s="22" t="str">
        <f t="shared" si="1"/>
        <v>Genel Müdür-D.Altuntaş-D.İnceoğlu</v>
      </c>
      <c r="I19" s="81"/>
      <c r="J19" s="82"/>
      <c r="K19" s="42" t="s">
        <v>88</v>
      </c>
      <c r="L19" s="8"/>
      <c r="M19" s="8"/>
      <c r="N19" s="8"/>
      <c r="O19" s="8"/>
    </row>
    <row r="20" spans="2:15" ht="28.2" x14ac:dyDescent="0.25">
      <c r="B20" s="9">
        <v>3</v>
      </c>
      <c r="C20" s="6">
        <v>14</v>
      </c>
      <c r="D20" s="21" t="str">
        <f>I2&amp; " sürecinin "&amp; "organizasyonu kalite politikasını ulaşıyormu ve özünü ifade edebiliyor mu? DOKÜMANTE BİLGİ (5.2.2.a)"</f>
        <v>Y02 Yönetim Sorumluluğu Prosesi sürecinin organizasyonu kalite politikasını ulaşıyormu ve özünü ifade edebiliyor mu? DOKÜMANTE BİLGİ (5.2.2.a)</v>
      </c>
      <c r="E20" s="21"/>
      <c r="F20" s="23"/>
      <c r="G20" s="12" t="s">
        <v>25</v>
      </c>
      <c r="H20" s="22" t="str">
        <f t="shared" si="1"/>
        <v>Genel Müdür-D.Altuntaş-D.İnceoğlu</v>
      </c>
      <c r="I20" s="81" t="s">
        <v>82</v>
      </c>
      <c r="J20" s="82"/>
      <c r="K20" s="42" t="s">
        <v>88</v>
      </c>
      <c r="L20" s="8"/>
      <c r="M20" s="8"/>
      <c r="N20" s="8"/>
      <c r="O20" s="8"/>
    </row>
    <row r="21" spans="2:15" ht="39.6" customHeight="1" x14ac:dyDescent="0.25">
      <c r="B21" s="9">
        <v>3</v>
      </c>
      <c r="C21" s="6">
        <v>15</v>
      </c>
      <c r="D21" s="21" t="str">
        <f>I2&amp; " sürecinin "&amp; "organizasyonuna ait roller, bu rollere ait görevler yazılı olarak belirlenmiş mi, rol sahipleri bu yazılı görev tanımlarına ulaşıyor ve gereklerini yapıyorlar mı?"</f>
        <v>Y02 Yönetim Sorumluluğu Prosesi sürecinin organizasyonuna ait roller, bu rollere ait görevler yazılı olarak belirlenmiş mi, rol sahipleri bu yazılı görev tanımlarına ulaşıyor ve gereklerini yapıyorlar mı?</v>
      </c>
      <c r="E21" s="21"/>
      <c r="F21" s="23"/>
      <c r="G21" s="12" t="s">
        <v>26</v>
      </c>
      <c r="H21" s="22" t="str">
        <f t="shared" si="1"/>
        <v>Genel Müdür-D.Altuntaş-D.İnceoğlu</v>
      </c>
      <c r="I21" s="115" t="s">
        <v>161</v>
      </c>
      <c r="J21" s="116"/>
      <c r="K21" s="42" t="s">
        <v>88</v>
      </c>
      <c r="L21" s="8"/>
      <c r="M21" s="8"/>
      <c r="N21" s="8"/>
      <c r="O21" s="8"/>
    </row>
    <row r="22" spans="2:15" ht="28.2" x14ac:dyDescent="0.25">
      <c r="B22" s="9">
        <v>3</v>
      </c>
      <c r="C22" s="6">
        <v>16</v>
      </c>
      <c r="D22" s="21" t="str">
        <f>I2&amp; " sürecinin "&amp; "organizasyonu için yeterlilik tanımlarına uygun personel tayin ve tedarik edilmiş midir?"</f>
        <v>Y02 Yönetim Sorumluluğu Prosesi sürecinin organizasyonu için yeterlilik tanımlarına uygun personel tayin ve tedarik edilmiş midir?</v>
      </c>
      <c r="E22" s="21"/>
      <c r="F22" s="23"/>
      <c r="G22" s="12" t="s">
        <v>27</v>
      </c>
      <c r="H22" s="22" t="str">
        <f t="shared" si="1"/>
        <v>Genel Müdür-D.Altuntaş-D.İnceoğlu</v>
      </c>
      <c r="I22" s="74" t="s">
        <v>161</v>
      </c>
      <c r="J22" s="75"/>
      <c r="K22" s="42" t="s">
        <v>88</v>
      </c>
      <c r="L22" s="8"/>
      <c r="M22" s="8"/>
      <c r="N22" s="8"/>
      <c r="O22" s="8"/>
    </row>
    <row r="23" spans="2:15" ht="39.6" customHeight="1" x14ac:dyDescent="0.25">
      <c r="B23" s="9">
        <v>3</v>
      </c>
      <c r="C23" s="6">
        <v>17</v>
      </c>
      <c r="D23" s="21" t="str">
        <f>I2&amp; " sürecinin "&amp; "organizasyonunda yer alan roller için yeterlilikler belirlenmiş ve bu yeterliliklerin sağlanması için eğitim vb. faaliyetler gerçekleştiriliyor ve etkinliği değerlendiriliyor mu? DOKÜMANTE BİLGİ (7.2.d)"</f>
        <v>Y02 Yönetim Sorumluluğu Prosesi sürecinin organizasyonunda yer alan roller için yeterlilikler belirlenmiş ve bu yeterliliklerin sağlanması için eğitim vb. faaliyetler gerçekleştiriliyor ve etkinliği değerlendiriliyor mu? DOKÜMANTE BİLGİ (7.2.d)</v>
      </c>
      <c r="E23" s="21"/>
      <c r="F23" s="23"/>
      <c r="G23" s="12" t="s">
        <v>28</v>
      </c>
      <c r="H23" s="22" t="str">
        <f t="shared" si="1"/>
        <v>Genel Müdür-D.Altuntaş-D.İnceoğlu</v>
      </c>
      <c r="I23" s="74" t="s">
        <v>161</v>
      </c>
      <c r="J23" s="75"/>
      <c r="K23" s="42" t="s">
        <v>88</v>
      </c>
      <c r="L23" s="8"/>
      <c r="M23" s="8"/>
      <c r="N23" s="8"/>
      <c r="O23" s="8"/>
    </row>
    <row r="24" spans="2:15" ht="39.6" x14ac:dyDescent="0.25">
      <c r="B24" s="9">
        <v>3</v>
      </c>
      <c r="C24" s="6">
        <v>18</v>
      </c>
      <c r="D24" s="21" t="str">
        <f>I2&amp; " sürecinin "&amp; "organizasyonunda görev alan personelin, amaçlara ulaşmak veya amaçlardan sapma konularında farkındalıkları yeterli midir?"</f>
        <v>Y02 Yönetim Sorumluluğu Prosesi sürecinin organizasyonunda görev alan personelin, amaçlara ulaşmak veya amaçlardan sapma konularında farkındalıkları yeterli midir?</v>
      </c>
      <c r="E24" s="21"/>
      <c r="F24" s="23"/>
      <c r="G24" s="12" t="s">
        <v>29</v>
      </c>
      <c r="H24" s="22" t="str">
        <f t="shared" si="1"/>
        <v>Genel Müdür-D.Altuntaş-D.İnceoğlu</v>
      </c>
      <c r="I24" s="74" t="s">
        <v>162</v>
      </c>
      <c r="J24" s="75"/>
      <c r="K24" s="42" t="s">
        <v>88</v>
      </c>
      <c r="L24" s="8"/>
      <c r="M24" s="8"/>
      <c r="N24" s="8"/>
      <c r="O24" s="8"/>
    </row>
    <row r="25" spans="2:15" ht="28.2" x14ac:dyDescent="0.25">
      <c r="B25" s="9">
        <v>4</v>
      </c>
      <c r="C25" s="6">
        <v>19</v>
      </c>
      <c r="D25" s="21" t="s">
        <v>46</v>
      </c>
      <c r="E25" s="29">
        <v>2</v>
      </c>
      <c r="F25" s="23"/>
      <c r="G25" s="12" t="s">
        <v>42</v>
      </c>
      <c r="H25" s="26" t="s">
        <v>43</v>
      </c>
      <c r="I25" s="58"/>
      <c r="J25" s="59"/>
      <c r="K25" s="42" t="s">
        <v>88</v>
      </c>
      <c r="L25" s="8"/>
      <c r="M25" s="8"/>
      <c r="N25" s="8"/>
      <c r="O25" s="8"/>
    </row>
    <row r="26" spans="2:15" ht="28.2" x14ac:dyDescent="0.25">
      <c r="B26" s="9">
        <v>4</v>
      </c>
      <c r="C26" s="6">
        <v>20</v>
      </c>
      <c r="D26" s="30" t="s">
        <v>41</v>
      </c>
      <c r="E26" s="29">
        <v>2</v>
      </c>
      <c r="F26" s="23"/>
      <c r="G26" s="12" t="s">
        <v>42</v>
      </c>
      <c r="H26" s="26" t="s">
        <v>43</v>
      </c>
      <c r="I26" s="76" t="s">
        <v>163</v>
      </c>
      <c r="J26" s="77"/>
      <c r="K26" s="42" t="s">
        <v>88</v>
      </c>
      <c r="L26" s="8"/>
      <c r="M26" s="8"/>
      <c r="N26" s="8"/>
      <c r="O26" s="8"/>
    </row>
    <row r="27" spans="2:15" ht="28.2" customHeight="1" x14ac:dyDescent="0.25">
      <c r="B27" s="9">
        <v>4</v>
      </c>
      <c r="C27" s="6">
        <v>21</v>
      </c>
      <c r="D27" s="30" t="s">
        <v>44</v>
      </c>
      <c r="E27" s="29">
        <v>2</v>
      </c>
      <c r="F27" s="23"/>
      <c r="G27" s="12" t="s">
        <v>45</v>
      </c>
      <c r="H27" s="26" t="s">
        <v>43</v>
      </c>
      <c r="I27" s="76" t="s">
        <v>163</v>
      </c>
      <c r="J27" s="77"/>
      <c r="K27" s="42" t="s">
        <v>88</v>
      </c>
      <c r="L27" s="8"/>
      <c r="M27" s="8"/>
      <c r="N27" s="8"/>
      <c r="O27" s="8"/>
    </row>
    <row r="28" spans="2:15" ht="90.6" customHeight="1" x14ac:dyDescent="0.25">
      <c r="B28" s="9">
        <v>4</v>
      </c>
      <c r="C28" s="6">
        <v>22</v>
      </c>
      <c r="D28" s="31" t="s">
        <v>47</v>
      </c>
      <c r="E28" s="33" t="s">
        <v>48</v>
      </c>
      <c r="F28" s="23"/>
      <c r="G28" s="12" t="s">
        <v>45</v>
      </c>
      <c r="H28" s="26" t="s">
        <v>43</v>
      </c>
      <c r="I28" s="81" t="s">
        <v>164</v>
      </c>
      <c r="J28" s="82"/>
      <c r="K28" s="42" t="s">
        <v>88</v>
      </c>
      <c r="L28" s="8"/>
      <c r="M28" s="8"/>
      <c r="N28" s="8"/>
      <c r="O28" s="8"/>
    </row>
    <row r="29" spans="2:15" ht="39.6" x14ac:dyDescent="0.25">
      <c r="B29" s="9">
        <v>4</v>
      </c>
      <c r="C29" s="6">
        <v>23</v>
      </c>
      <c r="D29" s="31" t="s">
        <v>68</v>
      </c>
      <c r="E29" s="34" t="s">
        <v>71</v>
      </c>
      <c r="F29" s="23"/>
      <c r="G29" s="12" t="s">
        <v>69</v>
      </c>
      <c r="H29" s="26" t="s">
        <v>70</v>
      </c>
      <c r="I29" s="123" t="s">
        <v>165</v>
      </c>
      <c r="J29" s="124"/>
      <c r="K29" s="42" t="s">
        <v>88</v>
      </c>
      <c r="L29" s="8"/>
      <c r="M29" s="8"/>
      <c r="N29" s="8"/>
      <c r="O29" s="8"/>
    </row>
    <row r="30" spans="2:15" ht="33.6" x14ac:dyDescent="0.25">
      <c r="B30" s="9">
        <v>4</v>
      </c>
      <c r="C30" s="6">
        <v>24</v>
      </c>
      <c r="D30" s="31" t="s">
        <v>73</v>
      </c>
      <c r="E30" s="34"/>
      <c r="F30" s="23"/>
      <c r="G30" s="32" t="s">
        <v>72</v>
      </c>
      <c r="H30" s="26" t="s">
        <v>70</v>
      </c>
      <c r="I30" s="123" t="s">
        <v>166</v>
      </c>
      <c r="J30" s="82"/>
      <c r="K30" s="42" t="s">
        <v>88</v>
      </c>
      <c r="L30" s="8"/>
      <c r="M30" s="8"/>
      <c r="N30" s="8"/>
      <c r="O30" s="8"/>
    </row>
    <row r="31" spans="2:15" ht="82.8" customHeight="1" x14ac:dyDescent="0.25">
      <c r="B31" s="9">
        <v>4</v>
      </c>
      <c r="C31" s="6">
        <v>25</v>
      </c>
      <c r="D31" s="31" t="s">
        <v>50</v>
      </c>
      <c r="E31" s="34" t="s">
        <v>51</v>
      </c>
      <c r="F31" s="23"/>
      <c r="G31" s="32" t="s">
        <v>13</v>
      </c>
      <c r="H31" s="26" t="s">
        <v>43</v>
      </c>
      <c r="I31" s="81" t="s">
        <v>167</v>
      </c>
      <c r="J31" s="82"/>
      <c r="K31" s="42" t="s">
        <v>88</v>
      </c>
      <c r="L31" s="8"/>
      <c r="M31" s="8"/>
      <c r="N31" s="8"/>
      <c r="O31" s="8"/>
    </row>
    <row r="32" spans="2:15" ht="49.2" customHeight="1" x14ac:dyDescent="0.25">
      <c r="B32" s="9">
        <v>4</v>
      </c>
      <c r="C32" s="6">
        <v>26</v>
      </c>
      <c r="D32" s="31" t="s">
        <v>49</v>
      </c>
      <c r="E32" s="34" t="s">
        <v>54</v>
      </c>
      <c r="F32" s="23"/>
      <c r="G32" s="32" t="s">
        <v>55</v>
      </c>
      <c r="H32" s="26" t="s">
        <v>43</v>
      </c>
      <c r="I32" s="81" t="s">
        <v>168</v>
      </c>
      <c r="J32" s="82"/>
      <c r="K32" s="42" t="s">
        <v>88</v>
      </c>
      <c r="L32" s="8"/>
      <c r="M32" s="8"/>
      <c r="N32" s="8"/>
      <c r="O32" s="8"/>
    </row>
    <row r="33" spans="2:15" ht="32.25" customHeight="1" x14ac:dyDescent="0.25">
      <c r="B33" s="9">
        <v>4</v>
      </c>
      <c r="C33" s="6">
        <v>27</v>
      </c>
      <c r="D33" s="19" t="s">
        <v>53</v>
      </c>
      <c r="E33" s="34" t="s">
        <v>54</v>
      </c>
      <c r="F33" s="23"/>
      <c r="G33" s="20" t="s">
        <v>52</v>
      </c>
      <c r="H33" s="25" t="s">
        <v>43</v>
      </c>
      <c r="I33" s="81" t="s">
        <v>83</v>
      </c>
      <c r="J33" s="82"/>
      <c r="K33" s="42" t="s">
        <v>88</v>
      </c>
      <c r="L33" s="8"/>
      <c r="M33" s="8"/>
      <c r="N33" s="8"/>
      <c r="O33" s="8"/>
    </row>
    <row r="34" spans="2:15" ht="84.75" customHeight="1" x14ac:dyDescent="0.25">
      <c r="B34" s="9">
        <v>4</v>
      </c>
      <c r="C34" s="6">
        <v>28</v>
      </c>
      <c r="D34" s="19" t="s">
        <v>59</v>
      </c>
      <c r="E34" s="34" t="s">
        <v>60</v>
      </c>
      <c r="F34" s="23"/>
      <c r="G34" s="20" t="s">
        <v>25</v>
      </c>
      <c r="H34" s="25" t="s">
        <v>61</v>
      </c>
      <c r="I34" s="114" t="s">
        <v>98</v>
      </c>
      <c r="J34" s="113"/>
      <c r="K34" s="42" t="s">
        <v>88</v>
      </c>
      <c r="L34" s="8"/>
      <c r="M34" s="8"/>
      <c r="N34" s="8"/>
      <c r="O34" s="8"/>
    </row>
    <row r="35" spans="2:15" ht="65.25" customHeight="1" x14ac:dyDescent="0.25">
      <c r="B35" s="9">
        <v>4</v>
      </c>
      <c r="C35" s="6">
        <v>29</v>
      </c>
      <c r="D35" s="31" t="s">
        <v>64</v>
      </c>
      <c r="E35" s="34" t="s">
        <v>60</v>
      </c>
      <c r="F35" s="23"/>
      <c r="G35" s="35" t="s">
        <v>63</v>
      </c>
      <c r="H35" s="36" t="s">
        <v>62</v>
      </c>
      <c r="I35" s="114" t="s">
        <v>84</v>
      </c>
      <c r="J35" s="113"/>
      <c r="K35" s="42" t="s">
        <v>88</v>
      </c>
      <c r="L35" s="8"/>
      <c r="M35" s="8"/>
      <c r="N35" s="8"/>
      <c r="O35" s="8"/>
    </row>
    <row r="36" spans="2:15" ht="66" x14ac:dyDescent="0.25">
      <c r="B36" s="9">
        <v>4</v>
      </c>
      <c r="C36" s="6">
        <v>30</v>
      </c>
      <c r="D36" s="30" t="s">
        <v>56</v>
      </c>
      <c r="E36" s="32" t="s">
        <v>66</v>
      </c>
      <c r="F36" s="23"/>
      <c r="G36" s="32" t="s">
        <v>65</v>
      </c>
      <c r="H36" s="26" t="s">
        <v>43</v>
      </c>
      <c r="I36" s="81" t="s">
        <v>169</v>
      </c>
      <c r="J36" s="82"/>
      <c r="K36" s="42" t="s">
        <v>88</v>
      </c>
      <c r="L36" s="8"/>
      <c r="M36" s="8"/>
      <c r="N36" s="8"/>
      <c r="O36" s="8"/>
    </row>
    <row r="37" spans="2:15" ht="39.75" customHeight="1" x14ac:dyDescent="0.25">
      <c r="B37" s="9">
        <v>4</v>
      </c>
      <c r="C37" s="6">
        <v>31</v>
      </c>
      <c r="D37" s="19" t="s">
        <v>58</v>
      </c>
      <c r="E37" s="29"/>
      <c r="F37" s="23"/>
      <c r="G37" s="32" t="s">
        <v>57</v>
      </c>
      <c r="H37" s="26" t="s">
        <v>43</v>
      </c>
      <c r="I37" s="81" t="s">
        <v>170</v>
      </c>
      <c r="J37" s="82"/>
      <c r="K37" s="42" t="s">
        <v>88</v>
      </c>
      <c r="L37" s="8"/>
      <c r="M37" s="8"/>
      <c r="N37" s="8"/>
      <c r="O37" s="8"/>
    </row>
    <row r="38" spans="2:15" ht="52.2" customHeight="1" x14ac:dyDescent="0.25">
      <c r="B38" s="9">
        <v>4</v>
      </c>
      <c r="C38" s="6">
        <v>32</v>
      </c>
      <c r="D38" s="31" t="s">
        <v>67</v>
      </c>
      <c r="E38" s="29"/>
      <c r="F38" s="23"/>
      <c r="G38" s="32" t="s">
        <v>14</v>
      </c>
      <c r="H38" s="26" t="s">
        <v>43</v>
      </c>
      <c r="I38" s="81" t="s">
        <v>174</v>
      </c>
      <c r="J38" s="82"/>
      <c r="K38" s="42" t="s">
        <v>88</v>
      </c>
      <c r="L38" s="8"/>
      <c r="M38" s="8"/>
      <c r="N38" s="8"/>
      <c r="O38" s="8"/>
    </row>
    <row r="39" spans="2:15" ht="63.75" customHeight="1" x14ac:dyDescent="0.25">
      <c r="B39" s="9">
        <v>4</v>
      </c>
      <c r="C39" s="6">
        <v>33</v>
      </c>
      <c r="D39" s="31" t="s">
        <v>74</v>
      </c>
      <c r="E39" s="29">
        <v>20</v>
      </c>
      <c r="F39" s="23"/>
      <c r="G39" s="20" t="s">
        <v>75</v>
      </c>
      <c r="H39" s="27" t="s">
        <v>70</v>
      </c>
      <c r="I39" s="114" t="s">
        <v>171</v>
      </c>
      <c r="J39" s="113"/>
      <c r="K39" s="42" t="s">
        <v>88</v>
      </c>
      <c r="L39" s="8"/>
      <c r="M39" s="8"/>
      <c r="N39" s="8"/>
      <c r="O39" s="8"/>
    </row>
    <row r="40" spans="2:15" ht="28.2" x14ac:dyDescent="0.25">
      <c r="B40" s="9">
        <v>4</v>
      </c>
      <c r="C40" s="6">
        <v>34</v>
      </c>
      <c r="D40" s="31" t="s">
        <v>81</v>
      </c>
      <c r="E40" s="29">
        <v>31</v>
      </c>
      <c r="F40" s="23"/>
      <c r="G40" s="20" t="s">
        <v>21</v>
      </c>
      <c r="H40" s="26" t="s">
        <v>76</v>
      </c>
      <c r="I40" s="81" t="s">
        <v>172</v>
      </c>
      <c r="J40" s="82"/>
      <c r="K40" s="42" t="s">
        <v>88</v>
      </c>
      <c r="L40" s="8"/>
      <c r="M40" s="8"/>
      <c r="N40" s="8"/>
      <c r="O40" s="8"/>
    </row>
    <row r="41" spans="2:15" ht="53.25" customHeight="1" x14ac:dyDescent="0.25">
      <c r="B41" s="9">
        <v>4</v>
      </c>
      <c r="C41" s="6">
        <v>35</v>
      </c>
      <c r="D41" s="31" t="s">
        <v>80</v>
      </c>
      <c r="E41" s="37" t="s">
        <v>78</v>
      </c>
      <c r="F41" s="23"/>
      <c r="G41" s="20" t="s">
        <v>77</v>
      </c>
      <c r="H41" s="26" t="s">
        <v>79</v>
      </c>
      <c r="I41" s="112" t="s">
        <v>173</v>
      </c>
      <c r="J41" s="125"/>
      <c r="K41" s="42" t="s">
        <v>88</v>
      </c>
      <c r="L41" s="8"/>
      <c r="M41" s="8"/>
      <c r="N41" s="8"/>
      <c r="O41" s="8"/>
    </row>
    <row r="42" spans="2:15" s="24" customFormat="1" ht="33.6" x14ac:dyDescent="0.25">
      <c r="B42" s="65">
        <v>4</v>
      </c>
      <c r="C42" s="61">
        <v>36</v>
      </c>
      <c r="D42" s="66" t="s">
        <v>101</v>
      </c>
      <c r="E42" s="12" t="s">
        <v>102</v>
      </c>
      <c r="F42" s="23"/>
      <c r="G42" s="12"/>
      <c r="H42" s="26" t="s">
        <v>103</v>
      </c>
      <c r="I42" s="76"/>
      <c r="J42" s="77"/>
      <c r="K42" s="67" t="s">
        <v>88</v>
      </c>
      <c r="L42" s="62"/>
      <c r="M42" s="62"/>
      <c r="N42" s="62"/>
      <c r="O42" s="62"/>
    </row>
    <row r="43" spans="2:15" s="24" customFormat="1" ht="33.6" x14ac:dyDescent="0.25">
      <c r="B43" s="65">
        <v>4</v>
      </c>
      <c r="C43" s="61">
        <v>37</v>
      </c>
      <c r="D43" s="66" t="s">
        <v>104</v>
      </c>
      <c r="E43" s="12" t="s">
        <v>105</v>
      </c>
      <c r="F43" s="23"/>
      <c r="G43" s="12"/>
      <c r="H43" s="26" t="s">
        <v>103</v>
      </c>
      <c r="I43" s="76"/>
      <c r="J43" s="77"/>
      <c r="K43" s="67" t="s">
        <v>88</v>
      </c>
      <c r="L43" s="62"/>
      <c r="M43" s="62"/>
      <c r="N43" s="62"/>
      <c r="O43" s="62"/>
    </row>
    <row r="44" spans="2:15" s="24" customFormat="1" ht="39.6" x14ac:dyDescent="0.25">
      <c r="B44" s="65">
        <v>4</v>
      </c>
      <c r="C44" s="61">
        <v>38</v>
      </c>
      <c r="D44" s="66" t="s">
        <v>106</v>
      </c>
      <c r="E44" s="12" t="s">
        <v>107</v>
      </c>
      <c r="F44" s="23"/>
      <c r="G44" s="12"/>
      <c r="H44" s="26" t="s">
        <v>103</v>
      </c>
      <c r="I44" s="126" t="s">
        <v>108</v>
      </c>
      <c r="J44" s="127"/>
      <c r="K44" s="67" t="s">
        <v>88</v>
      </c>
      <c r="L44" s="62"/>
      <c r="M44" s="62"/>
      <c r="N44" s="62"/>
      <c r="O44" s="62"/>
    </row>
    <row r="45" spans="2:15" s="24" customFormat="1" ht="33.6" x14ac:dyDescent="0.25">
      <c r="B45" s="65">
        <v>4</v>
      </c>
      <c r="C45" s="61">
        <v>39</v>
      </c>
      <c r="D45" s="68" t="s">
        <v>109</v>
      </c>
      <c r="E45" s="23">
        <v>9</v>
      </c>
      <c r="F45" s="23"/>
      <c r="G45" s="32"/>
      <c r="H45" s="26" t="s">
        <v>103</v>
      </c>
      <c r="I45" s="126"/>
      <c r="J45" s="127"/>
      <c r="K45" s="67" t="s">
        <v>88</v>
      </c>
      <c r="L45" s="62"/>
      <c r="M45" s="62"/>
      <c r="N45" s="62"/>
      <c r="O45" s="62"/>
    </row>
    <row r="46" spans="2:15" s="24" customFormat="1" ht="26.4" x14ac:dyDescent="0.25">
      <c r="B46" s="65">
        <v>4</v>
      </c>
      <c r="C46" s="61">
        <v>40</v>
      </c>
      <c r="D46" s="68" t="s">
        <v>110</v>
      </c>
      <c r="E46" s="23">
        <v>11</v>
      </c>
      <c r="F46" s="23"/>
      <c r="G46" s="32"/>
      <c r="H46" s="63" t="s">
        <v>111</v>
      </c>
      <c r="I46" s="126" t="s">
        <v>112</v>
      </c>
      <c r="J46" s="127"/>
      <c r="K46" s="67" t="s">
        <v>88</v>
      </c>
      <c r="L46" s="62"/>
      <c r="M46" s="62"/>
      <c r="N46" s="62"/>
      <c r="O46" s="62"/>
    </row>
    <row r="47" spans="2:15" s="24" customFormat="1" ht="30.6" x14ac:dyDescent="0.25">
      <c r="B47" s="65">
        <v>4</v>
      </c>
      <c r="C47" s="61">
        <v>41</v>
      </c>
      <c r="D47" s="68" t="s">
        <v>113</v>
      </c>
      <c r="E47" s="23">
        <v>13</v>
      </c>
      <c r="F47" s="23"/>
      <c r="G47" s="69"/>
      <c r="H47" s="25" t="s">
        <v>111</v>
      </c>
      <c r="I47" s="126" t="s">
        <v>114</v>
      </c>
      <c r="J47" s="127"/>
      <c r="K47" s="67" t="s">
        <v>88</v>
      </c>
      <c r="L47" s="62"/>
      <c r="M47" s="62"/>
      <c r="N47" s="62"/>
      <c r="O47" s="62"/>
    </row>
    <row r="48" spans="2:15" s="24" customFormat="1" ht="52.8" x14ac:dyDescent="0.25">
      <c r="B48" s="65">
        <v>4</v>
      </c>
      <c r="C48" s="61">
        <v>42</v>
      </c>
      <c r="D48" s="68" t="s">
        <v>115</v>
      </c>
      <c r="E48" s="70" t="s">
        <v>116</v>
      </c>
      <c r="F48" s="23"/>
      <c r="G48" s="69"/>
      <c r="H48" s="25" t="s">
        <v>111</v>
      </c>
      <c r="I48" s="126" t="s">
        <v>175</v>
      </c>
      <c r="J48" s="127"/>
      <c r="K48" s="67" t="s">
        <v>88</v>
      </c>
      <c r="L48" s="62"/>
      <c r="M48" s="62"/>
      <c r="N48" s="62"/>
      <c r="O48" s="62"/>
    </row>
    <row r="49" spans="2:15" s="24" customFormat="1" ht="30.6" x14ac:dyDescent="0.25">
      <c r="B49" s="65">
        <v>4</v>
      </c>
      <c r="C49" s="61">
        <v>43</v>
      </c>
      <c r="D49" s="71" t="s">
        <v>117</v>
      </c>
      <c r="E49" s="23">
        <v>22</v>
      </c>
      <c r="F49" s="23"/>
      <c r="G49" s="69"/>
      <c r="H49" s="25" t="s">
        <v>111</v>
      </c>
      <c r="I49" s="126" t="s">
        <v>176</v>
      </c>
      <c r="J49" s="127"/>
      <c r="K49" s="67" t="s">
        <v>88</v>
      </c>
      <c r="L49" s="62"/>
      <c r="M49" s="62"/>
      <c r="N49" s="62"/>
      <c r="O49" s="62"/>
    </row>
    <row r="50" spans="2:15" s="24" customFormat="1" ht="52.8" x14ac:dyDescent="0.25">
      <c r="B50" s="65">
        <v>4</v>
      </c>
      <c r="C50" s="61">
        <v>44</v>
      </c>
      <c r="D50" s="68" t="s">
        <v>118</v>
      </c>
      <c r="E50" s="23" t="s">
        <v>119</v>
      </c>
      <c r="F50" s="23"/>
      <c r="G50" s="69"/>
      <c r="H50" s="25" t="s">
        <v>111</v>
      </c>
      <c r="I50" s="126" t="s">
        <v>177</v>
      </c>
      <c r="J50" s="127"/>
      <c r="K50" s="67" t="s">
        <v>88</v>
      </c>
      <c r="L50" s="62"/>
      <c r="M50" s="62"/>
      <c r="N50" s="62"/>
      <c r="O50" s="62"/>
    </row>
    <row r="51" spans="2:15" s="24" customFormat="1" ht="28.2" x14ac:dyDescent="0.25">
      <c r="B51" s="64">
        <v>4</v>
      </c>
      <c r="C51" s="61">
        <v>45</v>
      </c>
      <c r="D51" s="21" t="s">
        <v>46</v>
      </c>
      <c r="E51" s="29">
        <v>2</v>
      </c>
      <c r="F51" s="23"/>
      <c r="G51" s="12" t="s">
        <v>42</v>
      </c>
      <c r="H51" s="26" t="s">
        <v>43</v>
      </c>
      <c r="I51" s="58"/>
      <c r="J51" s="59"/>
      <c r="K51" s="42" t="s">
        <v>88</v>
      </c>
      <c r="L51" s="62"/>
      <c r="M51" s="62"/>
      <c r="N51" s="62"/>
      <c r="O51" s="62"/>
    </row>
    <row r="52" spans="2:15" s="24" customFormat="1" ht="28.2" x14ac:dyDescent="0.25">
      <c r="B52" s="64">
        <v>4</v>
      </c>
      <c r="C52" s="61">
        <v>46</v>
      </c>
      <c r="D52" s="30" t="s">
        <v>41</v>
      </c>
      <c r="E52" s="29">
        <v>2</v>
      </c>
      <c r="F52" s="23"/>
      <c r="G52" s="12" t="s">
        <v>42</v>
      </c>
      <c r="H52" s="26" t="s">
        <v>43</v>
      </c>
      <c r="I52" s="76"/>
      <c r="J52" s="77"/>
      <c r="K52" s="42" t="s">
        <v>88</v>
      </c>
      <c r="L52" s="62"/>
      <c r="M52" s="62"/>
      <c r="N52" s="62"/>
      <c r="O52" s="62"/>
    </row>
    <row r="53" spans="2:15" s="24" customFormat="1" ht="28.2" x14ac:dyDescent="0.25">
      <c r="B53" s="64">
        <v>4</v>
      </c>
      <c r="C53" s="61">
        <v>47</v>
      </c>
      <c r="D53" s="30" t="s">
        <v>44</v>
      </c>
      <c r="E53" s="29">
        <v>2</v>
      </c>
      <c r="F53" s="23"/>
      <c r="G53" s="12" t="s">
        <v>45</v>
      </c>
      <c r="H53" s="26" t="s">
        <v>43</v>
      </c>
      <c r="I53" s="123" t="s">
        <v>178</v>
      </c>
      <c r="J53" s="82"/>
      <c r="K53" s="42" t="s">
        <v>88</v>
      </c>
      <c r="L53" s="62"/>
      <c r="M53" s="62"/>
      <c r="N53" s="62"/>
      <c r="O53" s="62"/>
    </row>
    <row r="54" spans="2:15" s="24" customFormat="1" ht="48" customHeight="1" x14ac:dyDescent="0.25">
      <c r="B54" s="64">
        <v>4</v>
      </c>
      <c r="C54" s="61">
        <v>48</v>
      </c>
      <c r="D54" s="31" t="s">
        <v>47</v>
      </c>
      <c r="E54" s="33" t="s">
        <v>48</v>
      </c>
      <c r="F54" s="23"/>
      <c r="G54" s="12" t="s">
        <v>45</v>
      </c>
      <c r="H54" s="26" t="s">
        <v>43</v>
      </c>
      <c r="I54" s="121" t="s">
        <v>179</v>
      </c>
      <c r="J54" s="122"/>
      <c r="K54" s="42" t="s">
        <v>88</v>
      </c>
      <c r="L54" s="62"/>
      <c r="M54" s="62"/>
      <c r="N54" s="62"/>
      <c r="O54" s="62"/>
    </row>
    <row r="55" spans="2:15" s="24" customFormat="1" ht="39.6" x14ac:dyDescent="0.25">
      <c r="B55" s="64">
        <v>4</v>
      </c>
      <c r="C55" s="61">
        <v>49</v>
      </c>
      <c r="D55" s="31" t="s">
        <v>68</v>
      </c>
      <c r="E55" s="34" t="s">
        <v>71</v>
      </c>
      <c r="F55" s="23"/>
      <c r="G55" s="12" t="s">
        <v>69</v>
      </c>
      <c r="H55" s="26" t="s">
        <v>70</v>
      </c>
      <c r="I55" s="123" t="s">
        <v>178</v>
      </c>
      <c r="J55" s="82"/>
      <c r="K55" s="42" t="s">
        <v>88</v>
      </c>
      <c r="L55" s="62"/>
      <c r="M55" s="62"/>
      <c r="N55" s="62"/>
      <c r="O55" s="62"/>
    </row>
    <row r="56" spans="2:15" s="24" customFormat="1" ht="33.6" x14ac:dyDescent="0.25">
      <c r="B56" s="64">
        <v>4</v>
      </c>
      <c r="C56" s="61">
        <v>50</v>
      </c>
      <c r="D56" s="31" t="s">
        <v>73</v>
      </c>
      <c r="E56" s="34"/>
      <c r="F56" s="23"/>
      <c r="G56" s="32" t="s">
        <v>72</v>
      </c>
      <c r="H56" s="26" t="s">
        <v>70</v>
      </c>
      <c r="I56" s="123" t="s">
        <v>166</v>
      </c>
      <c r="J56" s="82"/>
      <c r="K56" s="42" t="s">
        <v>88</v>
      </c>
      <c r="L56" s="62"/>
      <c r="M56" s="62"/>
      <c r="N56" s="62"/>
      <c r="O56" s="62"/>
    </row>
    <row r="57" spans="2:15" s="24" customFormat="1" ht="82.8" customHeight="1" x14ac:dyDescent="0.25">
      <c r="B57" s="64">
        <v>4</v>
      </c>
      <c r="C57" s="61">
        <v>51</v>
      </c>
      <c r="D57" s="31" t="s">
        <v>50</v>
      </c>
      <c r="E57" s="34" t="s">
        <v>51</v>
      </c>
      <c r="F57" s="23"/>
      <c r="G57" s="32" t="s">
        <v>13</v>
      </c>
      <c r="H57" s="26" t="s">
        <v>43</v>
      </c>
      <c r="I57" s="115" t="s">
        <v>153</v>
      </c>
      <c r="J57" s="116"/>
      <c r="K57" s="42" t="s">
        <v>88</v>
      </c>
      <c r="L57" s="62"/>
      <c r="M57" s="62"/>
      <c r="N57" s="62"/>
      <c r="O57" s="62"/>
    </row>
    <row r="58" spans="2:15" s="24" customFormat="1" ht="49.2" customHeight="1" x14ac:dyDescent="0.25">
      <c r="B58" s="64">
        <v>4</v>
      </c>
      <c r="C58" s="61">
        <v>52</v>
      </c>
      <c r="D58" s="31" t="s">
        <v>49</v>
      </c>
      <c r="E58" s="34" t="s">
        <v>54</v>
      </c>
      <c r="F58" s="23"/>
      <c r="G58" s="32" t="s">
        <v>55</v>
      </c>
      <c r="H58" s="26" t="s">
        <v>43</v>
      </c>
      <c r="I58" s="81" t="s">
        <v>168</v>
      </c>
      <c r="J58" s="82"/>
      <c r="K58" s="42" t="s">
        <v>88</v>
      </c>
      <c r="L58" s="62"/>
      <c r="M58" s="62"/>
      <c r="N58" s="62"/>
      <c r="O58" s="62"/>
    </row>
    <row r="59" spans="2:15" s="24" customFormat="1" ht="47.4" customHeight="1" x14ac:dyDescent="0.25">
      <c r="B59" s="64">
        <v>4</v>
      </c>
      <c r="C59" s="61">
        <v>53</v>
      </c>
      <c r="D59" s="19" t="s">
        <v>53</v>
      </c>
      <c r="E59" s="34" t="s">
        <v>54</v>
      </c>
      <c r="F59" s="23"/>
      <c r="G59" s="20" t="s">
        <v>52</v>
      </c>
      <c r="H59" s="25" t="s">
        <v>43</v>
      </c>
      <c r="I59" s="81" t="s">
        <v>180</v>
      </c>
      <c r="J59" s="82"/>
      <c r="K59" s="42" t="s">
        <v>88</v>
      </c>
      <c r="L59" s="62"/>
      <c r="M59" s="62"/>
      <c r="N59" s="62"/>
      <c r="O59" s="62"/>
    </row>
    <row r="60" spans="2:15" s="24" customFormat="1" ht="84.75" customHeight="1" x14ac:dyDescent="0.25">
      <c r="B60" s="64">
        <v>4</v>
      </c>
      <c r="C60" s="61">
        <v>54</v>
      </c>
      <c r="D60" s="19" t="s">
        <v>59</v>
      </c>
      <c r="E60" s="34" t="s">
        <v>60</v>
      </c>
      <c r="F60" s="23"/>
      <c r="G60" s="20" t="s">
        <v>25</v>
      </c>
      <c r="H60" s="25" t="s">
        <v>61</v>
      </c>
      <c r="I60" s="114" t="s">
        <v>98</v>
      </c>
      <c r="J60" s="113"/>
      <c r="K60" s="42" t="s">
        <v>88</v>
      </c>
      <c r="L60" s="62"/>
      <c r="M60" s="62"/>
      <c r="N60" s="62"/>
      <c r="O60" s="62"/>
    </row>
    <row r="61" spans="2:15" s="24" customFormat="1" ht="65.25" customHeight="1" x14ac:dyDescent="0.25">
      <c r="B61" s="64">
        <v>4</v>
      </c>
      <c r="C61" s="61">
        <v>55</v>
      </c>
      <c r="D61" s="31" t="s">
        <v>64</v>
      </c>
      <c r="E61" s="34" t="s">
        <v>60</v>
      </c>
      <c r="F61" s="23"/>
      <c r="G61" s="35" t="s">
        <v>63</v>
      </c>
      <c r="H61" s="36" t="s">
        <v>62</v>
      </c>
      <c r="I61" s="114" t="s">
        <v>84</v>
      </c>
      <c r="J61" s="113"/>
      <c r="K61" s="42" t="s">
        <v>88</v>
      </c>
      <c r="L61" s="62"/>
      <c r="M61" s="62"/>
      <c r="N61" s="62"/>
      <c r="O61" s="62"/>
    </row>
    <row r="62" spans="2:15" s="24" customFormat="1" ht="77.400000000000006" customHeight="1" x14ac:dyDescent="0.25">
      <c r="B62" s="64">
        <v>4</v>
      </c>
      <c r="C62" s="61">
        <v>56</v>
      </c>
      <c r="D62" s="30" t="s">
        <v>56</v>
      </c>
      <c r="E62" s="32" t="s">
        <v>66</v>
      </c>
      <c r="F62" s="23"/>
      <c r="G62" s="32" t="s">
        <v>65</v>
      </c>
      <c r="H62" s="26" t="s">
        <v>43</v>
      </c>
      <c r="I62" s="81" t="s">
        <v>181</v>
      </c>
      <c r="J62" s="82"/>
      <c r="K62" s="42" t="s">
        <v>88</v>
      </c>
      <c r="L62" s="62"/>
      <c r="M62" s="62"/>
      <c r="N62" s="62"/>
      <c r="O62" s="62"/>
    </row>
    <row r="63" spans="2:15" s="24" customFormat="1" ht="39.75" customHeight="1" x14ac:dyDescent="0.25">
      <c r="B63" s="64">
        <v>4</v>
      </c>
      <c r="C63" s="61">
        <v>57</v>
      </c>
      <c r="D63" s="19" t="s">
        <v>58</v>
      </c>
      <c r="E63" s="29"/>
      <c r="F63" s="23"/>
      <c r="G63" s="32" t="s">
        <v>57</v>
      </c>
      <c r="H63" s="26" t="s">
        <v>43</v>
      </c>
      <c r="I63" s="81" t="s">
        <v>96</v>
      </c>
      <c r="J63" s="82"/>
      <c r="K63" s="42" t="s">
        <v>88</v>
      </c>
      <c r="L63" s="62"/>
      <c r="M63" s="62"/>
      <c r="N63" s="62"/>
      <c r="O63" s="62"/>
    </row>
    <row r="64" spans="2:15" s="24" customFormat="1" ht="28.2" x14ac:dyDescent="0.25">
      <c r="B64" s="64">
        <v>4</v>
      </c>
      <c r="C64" s="61">
        <v>58</v>
      </c>
      <c r="D64" s="31" t="s">
        <v>67</v>
      </c>
      <c r="E64" s="29"/>
      <c r="F64" s="23"/>
      <c r="G64" s="32" t="s">
        <v>14</v>
      </c>
      <c r="H64" s="26" t="s">
        <v>43</v>
      </c>
      <c r="I64" s="81"/>
      <c r="J64" s="82"/>
      <c r="K64" s="42" t="s">
        <v>88</v>
      </c>
      <c r="L64" s="62"/>
      <c r="M64" s="62"/>
      <c r="N64" s="62"/>
      <c r="O64" s="62"/>
    </row>
    <row r="65" spans="2:15" s="24" customFormat="1" ht="42" x14ac:dyDescent="0.25">
      <c r="B65" s="64">
        <v>4</v>
      </c>
      <c r="C65" s="61">
        <v>59</v>
      </c>
      <c r="D65" s="19" t="s">
        <v>120</v>
      </c>
      <c r="E65" s="29">
        <v>34</v>
      </c>
      <c r="F65" s="23"/>
      <c r="G65" s="32" t="s">
        <v>121</v>
      </c>
      <c r="H65" s="26" t="s">
        <v>122</v>
      </c>
      <c r="I65" s="81" t="s">
        <v>123</v>
      </c>
      <c r="J65" s="82"/>
      <c r="K65" s="42" t="s">
        <v>88</v>
      </c>
      <c r="L65" s="62"/>
      <c r="M65" s="62"/>
      <c r="N65" s="62"/>
      <c r="O65" s="62"/>
    </row>
    <row r="66" spans="2:15" s="24" customFormat="1" ht="51" customHeight="1" x14ac:dyDescent="0.25">
      <c r="B66" s="64">
        <v>4</v>
      </c>
      <c r="C66" s="61">
        <v>60</v>
      </c>
      <c r="D66" s="31" t="s">
        <v>124</v>
      </c>
      <c r="E66" s="29" t="s">
        <v>125</v>
      </c>
      <c r="F66" s="23"/>
      <c r="G66" s="32" t="s">
        <v>16</v>
      </c>
      <c r="H66" s="26" t="s">
        <v>126</v>
      </c>
      <c r="I66" s="112" t="s">
        <v>182</v>
      </c>
      <c r="J66" s="113"/>
      <c r="K66" s="42" t="s">
        <v>88</v>
      </c>
      <c r="L66" s="62"/>
      <c r="M66" s="62"/>
      <c r="N66" s="62"/>
      <c r="O66" s="62"/>
    </row>
    <row r="67" spans="2:15" s="24" customFormat="1" ht="42" x14ac:dyDescent="0.25">
      <c r="B67" s="64">
        <v>4</v>
      </c>
      <c r="C67" s="61">
        <v>61</v>
      </c>
      <c r="D67" s="31" t="s">
        <v>127</v>
      </c>
      <c r="E67" s="29" t="s">
        <v>125</v>
      </c>
      <c r="F67" s="23"/>
      <c r="G67" s="32" t="s">
        <v>16</v>
      </c>
      <c r="H67" s="26" t="s">
        <v>126</v>
      </c>
      <c r="I67" s="112" t="s">
        <v>182</v>
      </c>
      <c r="J67" s="113"/>
      <c r="K67" s="42" t="s">
        <v>88</v>
      </c>
      <c r="L67" s="62"/>
      <c r="M67" s="62"/>
      <c r="N67" s="62"/>
      <c r="O67" s="62"/>
    </row>
    <row r="68" spans="2:15" s="24" customFormat="1" ht="63.75" customHeight="1" x14ac:dyDescent="0.25">
      <c r="B68" s="64">
        <v>4</v>
      </c>
      <c r="C68" s="61">
        <v>62</v>
      </c>
      <c r="D68" s="31" t="s">
        <v>74</v>
      </c>
      <c r="E68" s="29">
        <v>20</v>
      </c>
      <c r="F68" s="23"/>
      <c r="G68" s="20" t="s">
        <v>75</v>
      </c>
      <c r="H68" s="27" t="s">
        <v>70</v>
      </c>
      <c r="I68" s="114" t="s">
        <v>85</v>
      </c>
      <c r="J68" s="113"/>
      <c r="K68" s="42" t="s">
        <v>88</v>
      </c>
      <c r="L68" s="62"/>
      <c r="M68" s="62"/>
      <c r="N68" s="62"/>
      <c r="O68" s="62"/>
    </row>
    <row r="69" spans="2:15" s="24" customFormat="1" ht="28.2" x14ac:dyDescent="0.25">
      <c r="B69" s="64">
        <v>4</v>
      </c>
      <c r="C69" s="61">
        <v>63</v>
      </c>
      <c r="D69" s="31" t="s">
        <v>81</v>
      </c>
      <c r="E69" s="29">
        <v>31</v>
      </c>
      <c r="F69" s="23"/>
      <c r="G69" s="20" t="s">
        <v>21</v>
      </c>
      <c r="H69" s="26" t="s">
        <v>76</v>
      </c>
      <c r="I69" s="81" t="s">
        <v>99</v>
      </c>
      <c r="J69" s="82"/>
      <c r="K69" s="42" t="s">
        <v>88</v>
      </c>
      <c r="L69" s="62"/>
      <c r="M69" s="62"/>
      <c r="N69" s="62"/>
      <c r="O69" s="62"/>
    </row>
    <row r="70" spans="2:15" s="24" customFormat="1" ht="53.25" customHeight="1" x14ac:dyDescent="0.25">
      <c r="B70" s="64">
        <v>4</v>
      </c>
      <c r="C70" s="61">
        <v>64</v>
      </c>
      <c r="D70" s="31" t="s">
        <v>80</v>
      </c>
      <c r="E70" s="37" t="s">
        <v>78</v>
      </c>
      <c r="F70" s="23"/>
      <c r="G70" s="20" t="s">
        <v>77</v>
      </c>
      <c r="H70" s="26" t="s">
        <v>79</v>
      </c>
      <c r="I70" s="112" t="s">
        <v>86</v>
      </c>
      <c r="J70" s="125"/>
      <c r="K70" s="42" t="s">
        <v>88</v>
      </c>
      <c r="L70" s="62"/>
      <c r="M70" s="62"/>
      <c r="N70" s="62"/>
      <c r="O70" s="62"/>
    </row>
    <row r="71" spans="2:15" s="24" customFormat="1" ht="28.2" x14ac:dyDescent="0.25">
      <c r="B71" s="64">
        <v>4</v>
      </c>
      <c r="C71" s="61">
        <v>65</v>
      </c>
      <c r="D71" s="31" t="s">
        <v>128</v>
      </c>
      <c r="E71" s="37" t="s">
        <v>78</v>
      </c>
      <c r="F71" s="23"/>
      <c r="G71" s="20" t="s">
        <v>77</v>
      </c>
      <c r="H71" s="26" t="s">
        <v>79</v>
      </c>
      <c r="I71" s="114" t="s">
        <v>183</v>
      </c>
      <c r="J71" s="113"/>
      <c r="K71" s="42" t="s">
        <v>88</v>
      </c>
      <c r="L71" s="62"/>
      <c r="M71" s="62"/>
      <c r="N71" s="62"/>
      <c r="O71" s="62"/>
    </row>
    <row r="72" spans="2:15" s="24" customFormat="1" ht="33.6" x14ac:dyDescent="0.25">
      <c r="B72" s="64">
        <v>4</v>
      </c>
      <c r="C72" s="61">
        <v>66</v>
      </c>
      <c r="D72" s="31" t="s">
        <v>129</v>
      </c>
      <c r="E72" s="37"/>
      <c r="F72" s="23"/>
      <c r="G72" s="20" t="s">
        <v>130</v>
      </c>
      <c r="H72" s="26" t="s">
        <v>131</v>
      </c>
      <c r="I72" s="76" t="s">
        <v>182</v>
      </c>
      <c r="J72" s="77"/>
      <c r="K72" s="42" t="s">
        <v>88</v>
      </c>
      <c r="L72" s="62"/>
      <c r="M72" s="62"/>
      <c r="N72" s="62"/>
      <c r="O72" s="62"/>
    </row>
    <row r="73" spans="2:15" s="24" customFormat="1" ht="79.2" x14ac:dyDescent="0.25">
      <c r="B73" s="64">
        <v>4</v>
      </c>
      <c r="C73" s="61">
        <v>67</v>
      </c>
      <c r="D73" s="31" t="s">
        <v>132</v>
      </c>
      <c r="E73" s="37"/>
      <c r="F73" s="23"/>
      <c r="G73" s="20" t="s">
        <v>31</v>
      </c>
      <c r="H73" s="26" t="s">
        <v>79</v>
      </c>
      <c r="I73" s="76" t="s">
        <v>182</v>
      </c>
      <c r="J73" s="77"/>
      <c r="K73" s="42" t="s">
        <v>88</v>
      </c>
      <c r="L73" s="62"/>
      <c r="M73" s="62"/>
      <c r="N73" s="62"/>
      <c r="O73" s="62"/>
    </row>
    <row r="74" spans="2:15" s="24" customFormat="1" ht="63.75" customHeight="1" x14ac:dyDescent="0.25">
      <c r="B74" s="64">
        <v>4</v>
      </c>
      <c r="C74" s="61">
        <v>68</v>
      </c>
      <c r="D74" s="31" t="s">
        <v>133</v>
      </c>
      <c r="E74" s="37">
        <v>9</v>
      </c>
      <c r="F74" s="23"/>
      <c r="G74" s="20" t="s">
        <v>134</v>
      </c>
      <c r="H74" s="26" t="s">
        <v>135</v>
      </c>
      <c r="I74" s="76" t="s">
        <v>136</v>
      </c>
      <c r="J74" s="77"/>
      <c r="K74" s="42" t="s">
        <v>88</v>
      </c>
      <c r="L74" s="62"/>
      <c r="M74" s="62"/>
      <c r="N74" s="62"/>
      <c r="O74" s="62"/>
    </row>
    <row r="75" spans="2:15" s="24" customFormat="1" ht="51" customHeight="1" x14ac:dyDescent="0.25">
      <c r="B75" s="64">
        <v>4</v>
      </c>
      <c r="C75" s="61">
        <v>69</v>
      </c>
      <c r="D75" s="31" t="s">
        <v>137</v>
      </c>
      <c r="E75" s="37">
        <v>9</v>
      </c>
      <c r="F75" s="23"/>
      <c r="G75" s="20" t="s">
        <v>138</v>
      </c>
      <c r="H75" s="26" t="s">
        <v>135</v>
      </c>
      <c r="I75" s="114" t="s">
        <v>139</v>
      </c>
      <c r="J75" s="113"/>
      <c r="K75" s="42" t="s">
        <v>88</v>
      </c>
      <c r="L75" s="62"/>
      <c r="M75" s="62"/>
      <c r="N75" s="62"/>
      <c r="O75" s="62"/>
    </row>
    <row r="76" spans="2:15" s="24" customFormat="1" ht="40.5" customHeight="1" x14ac:dyDescent="0.25">
      <c r="B76" s="64">
        <v>4</v>
      </c>
      <c r="C76" s="61">
        <v>70</v>
      </c>
      <c r="D76" s="31" t="s">
        <v>140</v>
      </c>
      <c r="E76" s="37"/>
      <c r="F76" s="23"/>
      <c r="G76" s="20" t="s">
        <v>141</v>
      </c>
      <c r="H76" s="63" t="s">
        <v>142</v>
      </c>
      <c r="I76" s="76" t="s">
        <v>187</v>
      </c>
      <c r="J76" s="77"/>
      <c r="K76" s="42" t="s">
        <v>88</v>
      </c>
      <c r="L76" s="62"/>
      <c r="M76" s="62"/>
      <c r="N76" s="62"/>
      <c r="O76" s="62"/>
    </row>
    <row r="77" spans="2:15" s="24" customFormat="1" ht="33.6" x14ac:dyDescent="0.25">
      <c r="B77" s="64">
        <v>4</v>
      </c>
      <c r="C77" s="61">
        <v>71</v>
      </c>
      <c r="D77" s="31" t="s">
        <v>143</v>
      </c>
      <c r="E77" s="37">
        <v>20</v>
      </c>
      <c r="F77" s="23"/>
      <c r="G77" s="20" t="s">
        <v>32</v>
      </c>
      <c r="H77" s="26" t="s">
        <v>144</v>
      </c>
      <c r="I77" s="114"/>
      <c r="J77" s="113"/>
      <c r="K77" s="42" t="s">
        <v>88</v>
      </c>
      <c r="L77" s="62"/>
      <c r="M77" s="62"/>
      <c r="N77" s="62"/>
      <c r="O77" s="62"/>
    </row>
    <row r="78" spans="2:15" s="24" customFormat="1" ht="33.6" x14ac:dyDescent="0.25">
      <c r="B78" s="64">
        <v>4</v>
      </c>
      <c r="C78" s="61">
        <v>72</v>
      </c>
      <c r="D78" s="31" t="s">
        <v>145</v>
      </c>
      <c r="E78" s="37" t="s">
        <v>146</v>
      </c>
      <c r="F78" s="23"/>
      <c r="G78" s="35" t="s">
        <v>147</v>
      </c>
      <c r="H78" s="63" t="s">
        <v>148</v>
      </c>
      <c r="I78" s="76" t="s">
        <v>186</v>
      </c>
      <c r="J78" s="77"/>
      <c r="K78" s="42" t="s">
        <v>88</v>
      </c>
      <c r="L78" s="62"/>
      <c r="M78" s="62"/>
      <c r="N78" s="62"/>
      <c r="O78" s="62"/>
    </row>
    <row r="79" spans="2:15" ht="40.5" customHeight="1" x14ac:dyDescent="0.25">
      <c r="B79" s="9">
        <v>5</v>
      </c>
      <c r="C79" s="61">
        <v>73</v>
      </c>
      <c r="D79" s="7" t="str">
        <f>I2&amp; " sürecinin "&amp; "sürecinin tüm işlemleri için oluşturulmuş ve kontrol edilen prosedü(ler) mevcut mudur?"</f>
        <v>Y02 Yönetim Sorumluluğu Prosesi sürecinin sürecinin tüm işlemleri için oluşturulmuş ve kontrol edilen prosedü(ler) mevcut mudur?</v>
      </c>
      <c r="E79" s="7"/>
      <c r="F79" s="23"/>
      <c r="G79" s="12" t="s">
        <v>30</v>
      </c>
      <c r="H79" s="22" t="str">
        <f t="shared" ref="H79:H82" si="2">$I$4</f>
        <v>Genel Müdür-D.Altuntaş-D.İnceoğlu</v>
      </c>
      <c r="I79" s="76" t="s">
        <v>185</v>
      </c>
      <c r="J79" s="77"/>
      <c r="K79" s="42" t="s">
        <v>88</v>
      </c>
      <c r="L79" s="8"/>
      <c r="M79" s="8"/>
      <c r="N79" s="8"/>
      <c r="O79" s="8"/>
    </row>
    <row r="80" spans="2:15" ht="28.2" x14ac:dyDescent="0.25">
      <c r="B80" s="9">
        <v>6</v>
      </c>
      <c r="C80" s="61">
        <v>74</v>
      </c>
      <c r="D80" s="7" t="str">
        <f>I2&amp; " sürecinin "&amp; "performansı ve etkinliği değerlendirilmekte midir? DOKÜMANTE BİLGİ (9.1.1)"</f>
        <v>Y02 Yönetim Sorumluluğu Prosesi sürecinin performansı ve etkinliği değerlendirilmekte midir? DOKÜMANTE BİLGİ (9.1.1)</v>
      </c>
      <c r="E80" s="7"/>
      <c r="F80" s="23"/>
      <c r="G80" s="12" t="s">
        <v>31</v>
      </c>
      <c r="H80" s="22" t="str">
        <f t="shared" si="2"/>
        <v>Genel Müdür-D.Altuntaş-D.İnceoğlu</v>
      </c>
      <c r="I80" s="74" t="s">
        <v>184</v>
      </c>
      <c r="J80" s="75"/>
      <c r="K80" s="42" t="s">
        <v>88</v>
      </c>
      <c r="L80" s="8"/>
      <c r="M80" s="8"/>
      <c r="N80" s="8"/>
      <c r="O80" s="8"/>
    </row>
    <row r="81" spans="2:15" ht="28.2" customHeight="1" x14ac:dyDescent="0.25">
      <c r="B81" s="9">
        <v>6</v>
      </c>
      <c r="C81" s="61">
        <v>75</v>
      </c>
      <c r="D81" s="7" t="str">
        <f>I2&amp; " sürecinin "&amp; "sürecinin müşterlerinin memnuniyeti ölçülüyor mu?"</f>
        <v>Y02 Yönetim Sorumluluğu Prosesi sürecinin sürecinin müşterlerinin memnuniyeti ölçülüyor mu?</v>
      </c>
      <c r="E81" s="7"/>
      <c r="F81" s="23"/>
      <c r="G81" s="12" t="s">
        <v>32</v>
      </c>
      <c r="H81" s="22" t="str">
        <f t="shared" si="2"/>
        <v>Genel Müdür-D.Altuntaş-D.İnceoğlu</v>
      </c>
      <c r="I81" s="74" t="s">
        <v>184</v>
      </c>
      <c r="J81" s="75"/>
      <c r="K81" s="42" t="s">
        <v>88</v>
      </c>
      <c r="L81" s="8"/>
      <c r="M81" s="8"/>
      <c r="N81" s="8"/>
      <c r="O81" s="8"/>
    </row>
    <row r="82" spans="2:15" ht="28.2" customHeight="1" x14ac:dyDescent="0.25">
      <c r="B82" s="9">
        <v>6</v>
      </c>
      <c r="C82" s="61">
        <v>76</v>
      </c>
      <c r="D82" s="7" t="str">
        <f>I2&amp; " sürecinin "&amp; "izlenmesi ve ölçülmesine ait sonuçlar, istatitiksel yöntemler ile analiz ediliyor ve değerlendiriliyor mu?"</f>
        <v>Y02 Yönetim Sorumluluğu Prosesi sürecinin izlenmesi ve ölçülmesine ait sonuçlar, istatitiksel yöntemler ile analiz ediliyor ve değerlendiriliyor mu?</v>
      </c>
      <c r="E82" s="7"/>
      <c r="F82" s="23"/>
      <c r="G82" s="12" t="s">
        <v>33</v>
      </c>
      <c r="H82" s="22" t="str">
        <f t="shared" si="2"/>
        <v>Genel Müdür-D.Altuntaş-D.İnceoğlu</v>
      </c>
      <c r="I82" s="74" t="s">
        <v>184</v>
      </c>
      <c r="J82" s="75"/>
      <c r="K82" s="42" t="s">
        <v>88</v>
      </c>
      <c r="L82" s="8"/>
      <c r="M82" s="8"/>
      <c r="N82" s="8"/>
      <c r="O82" s="8"/>
    </row>
    <row r="83" spans="2:15" x14ac:dyDescent="0.25">
      <c r="C83" s="24" t="s">
        <v>38</v>
      </c>
      <c r="K83" s="1">
        <v>76</v>
      </c>
    </row>
    <row r="85" spans="2:15" ht="15.6" x14ac:dyDescent="0.3">
      <c r="C85" s="43" t="s">
        <v>89</v>
      </c>
      <c r="D85" s="44"/>
      <c r="E85" s="44"/>
      <c r="F85" s="45"/>
      <c r="G85" s="44"/>
      <c r="H85" s="44"/>
      <c r="I85" s="44"/>
    </row>
    <row r="86" spans="2:15" ht="14.4" x14ac:dyDescent="0.3">
      <c r="C86" s="46" t="s">
        <v>90</v>
      </c>
      <c r="D86" s="44"/>
      <c r="E86" s="44"/>
      <c r="F86" s="45"/>
      <c r="G86" s="44"/>
      <c r="H86" s="44"/>
      <c r="I86" s="44"/>
    </row>
    <row r="87" spans="2:15" ht="14.4" x14ac:dyDescent="0.3">
      <c r="C87" s="100" t="s">
        <v>91</v>
      </c>
      <c r="D87" s="101"/>
      <c r="E87" s="102"/>
      <c r="F87" s="45"/>
      <c r="G87" s="44"/>
      <c r="H87" s="44"/>
      <c r="I87" s="44"/>
    </row>
    <row r="88" spans="2:15" ht="14.4" x14ac:dyDescent="0.3">
      <c r="C88" s="47"/>
      <c r="D88" s="48"/>
      <c r="E88" s="49"/>
      <c r="F88" s="45"/>
      <c r="G88" s="44"/>
      <c r="H88" s="44"/>
      <c r="I88" s="44"/>
    </row>
    <row r="89" spans="2:15" ht="14.4" x14ac:dyDescent="0.3">
      <c r="C89" s="50"/>
      <c r="D89" s="44"/>
      <c r="E89" s="44"/>
      <c r="F89" s="45"/>
      <c r="G89" s="44"/>
      <c r="H89" s="44"/>
      <c r="I89" s="44"/>
    </row>
    <row r="90" spans="2:15" ht="14.4" x14ac:dyDescent="0.3">
      <c r="C90" s="46" t="s">
        <v>92</v>
      </c>
      <c r="D90" s="44"/>
      <c r="E90" s="44"/>
      <c r="F90" s="45"/>
      <c r="G90" s="44"/>
      <c r="H90" s="44"/>
      <c r="I90" s="44"/>
    </row>
    <row r="91" spans="2:15" ht="14.4" x14ac:dyDescent="0.3">
      <c r="C91" s="103"/>
      <c r="D91" s="104"/>
      <c r="E91" s="105"/>
      <c r="F91" s="45"/>
      <c r="G91" s="44"/>
      <c r="H91" s="44"/>
      <c r="I91" s="44"/>
    </row>
    <row r="92" spans="2:15" ht="14.4" x14ac:dyDescent="0.3">
      <c r="C92" s="106"/>
      <c r="D92" s="107"/>
      <c r="E92" s="108"/>
      <c r="F92" s="45"/>
      <c r="G92" s="44"/>
      <c r="H92" s="44"/>
      <c r="I92" s="44"/>
    </row>
    <row r="93" spans="2:15" ht="14.4" x14ac:dyDescent="0.3">
      <c r="C93" s="50"/>
      <c r="D93" s="44"/>
      <c r="E93" s="44"/>
      <c r="F93" s="45"/>
      <c r="G93" s="44"/>
      <c r="H93" s="44"/>
      <c r="I93" s="44"/>
    </row>
    <row r="94" spans="2:15" ht="14.4" x14ac:dyDescent="0.3">
      <c r="C94" s="46" t="s">
        <v>93</v>
      </c>
      <c r="D94" s="44"/>
      <c r="E94" s="44"/>
      <c r="F94" s="45"/>
      <c r="G94" s="44"/>
      <c r="H94" s="44"/>
      <c r="I94" s="44"/>
    </row>
    <row r="95" spans="2:15" ht="14.4" x14ac:dyDescent="0.3">
      <c r="C95" s="109"/>
      <c r="D95" s="110"/>
      <c r="E95" s="51"/>
      <c r="F95" s="45"/>
      <c r="G95" s="44"/>
      <c r="H95" s="44"/>
      <c r="I95" s="44"/>
    </row>
    <row r="96" spans="2:15" ht="14.4" x14ac:dyDescent="0.3">
      <c r="C96" s="52"/>
      <c r="D96" s="48"/>
      <c r="E96" s="49"/>
      <c r="F96" s="45"/>
      <c r="G96" s="44"/>
      <c r="H96" s="44"/>
      <c r="I96" s="44"/>
    </row>
    <row r="97" spans="3:9" ht="15.6" x14ac:dyDescent="0.3">
      <c r="C97" s="43" t="s">
        <v>94</v>
      </c>
      <c r="D97" s="44"/>
      <c r="E97" s="44"/>
      <c r="F97" s="45"/>
      <c r="G97" s="44"/>
      <c r="H97" s="44"/>
      <c r="I97" s="44"/>
    </row>
    <row r="98" spans="3:9" ht="14.4" x14ac:dyDescent="0.3">
      <c r="C98" s="111">
        <v>100</v>
      </c>
      <c r="D98" s="111"/>
      <c r="E98" s="111"/>
      <c r="F98" s="45"/>
      <c r="G98" s="44"/>
      <c r="H98" s="44"/>
      <c r="I98" s="44"/>
    </row>
    <row r="99" spans="3:9" ht="14.4" x14ac:dyDescent="0.3">
      <c r="C99" s="53"/>
      <c r="D99" s="44"/>
      <c r="E99" s="44"/>
      <c r="F99" s="45"/>
      <c r="G99" s="54"/>
      <c r="H99" s="44"/>
      <c r="I99" s="44"/>
    </row>
    <row r="100" spans="3:9" ht="14.4" x14ac:dyDescent="0.3">
      <c r="C100" s="53"/>
      <c r="D100" s="44"/>
      <c r="E100" s="44"/>
      <c r="F100" s="45"/>
      <c r="G100" s="55" t="s">
        <v>95</v>
      </c>
      <c r="H100" s="56"/>
      <c r="I100" s="56" t="s">
        <v>87</v>
      </c>
    </row>
    <row r="101" spans="3:9" ht="14.4" x14ac:dyDescent="0.3">
      <c r="C101" s="53"/>
      <c r="D101" s="44"/>
      <c r="E101" s="44"/>
      <c r="F101" s="45"/>
      <c r="G101" s="55"/>
      <c r="H101" s="56"/>
      <c r="I101" s="57"/>
    </row>
  </sheetData>
  <mergeCells count="90">
    <mergeCell ref="I76:J76"/>
    <mergeCell ref="I77:J77"/>
    <mergeCell ref="I78:J78"/>
    <mergeCell ref="I71:J71"/>
    <mergeCell ref="I72:J72"/>
    <mergeCell ref="I73:J73"/>
    <mergeCell ref="I74:J74"/>
    <mergeCell ref="I75:J75"/>
    <mergeCell ref="I66:J66"/>
    <mergeCell ref="I67:J67"/>
    <mergeCell ref="I68:J68"/>
    <mergeCell ref="I69:J69"/>
    <mergeCell ref="I70:J70"/>
    <mergeCell ref="I61:J61"/>
    <mergeCell ref="I62:J62"/>
    <mergeCell ref="I63:J63"/>
    <mergeCell ref="I64:J64"/>
    <mergeCell ref="I65:J65"/>
    <mergeCell ref="I56:J56"/>
    <mergeCell ref="I57:J57"/>
    <mergeCell ref="I58:J58"/>
    <mergeCell ref="I59:J59"/>
    <mergeCell ref="I60:J60"/>
    <mergeCell ref="C87:E87"/>
    <mergeCell ref="C91:E92"/>
    <mergeCell ref="C95:D95"/>
    <mergeCell ref="C98:E98"/>
    <mergeCell ref="I29:J29"/>
    <mergeCell ref="I30:J30"/>
    <mergeCell ref="I34:J34"/>
    <mergeCell ref="I35:J35"/>
    <mergeCell ref="I39:J39"/>
    <mergeCell ref="I41:J41"/>
    <mergeCell ref="I44:J44"/>
    <mergeCell ref="I45:J45"/>
    <mergeCell ref="I46:J46"/>
    <mergeCell ref="I47:J47"/>
    <mergeCell ref="I48:J48"/>
    <mergeCell ref="I49:J49"/>
    <mergeCell ref="B5:B6"/>
    <mergeCell ref="I5:J6"/>
    <mergeCell ref="I7:J7"/>
    <mergeCell ref="I8:J8"/>
    <mergeCell ref="I9:J9"/>
    <mergeCell ref="H5:H6"/>
    <mergeCell ref="C5:C6"/>
    <mergeCell ref="E5:E6"/>
    <mergeCell ref="G5:G6"/>
    <mergeCell ref="I81:J81"/>
    <mergeCell ref="D5:D6"/>
    <mergeCell ref="I36:J36"/>
    <mergeCell ref="I18:J18"/>
    <mergeCell ref="I20:J20"/>
    <mergeCell ref="I21:J21"/>
    <mergeCell ref="I31:J31"/>
    <mergeCell ref="I32:J32"/>
    <mergeCell ref="I33:J33"/>
    <mergeCell ref="I22:J22"/>
    <mergeCell ref="I23:J23"/>
    <mergeCell ref="I24:J24"/>
    <mergeCell ref="I28:J28"/>
    <mergeCell ref="I17:J17"/>
    <mergeCell ref="I11:J11"/>
    <mergeCell ref="I12:J12"/>
    <mergeCell ref="I53:J53"/>
    <mergeCell ref="I54:J54"/>
    <mergeCell ref="I55:J55"/>
    <mergeCell ref="C4:D4"/>
    <mergeCell ref="G2:H2"/>
    <mergeCell ref="F5:F6"/>
    <mergeCell ref="I13:J13"/>
    <mergeCell ref="I14:J14"/>
    <mergeCell ref="I15:J15"/>
    <mergeCell ref="I16:J16"/>
    <mergeCell ref="I10:J10"/>
    <mergeCell ref="I42:J42"/>
    <mergeCell ref="I43:J43"/>
    <mergeCell ref="K4:O4"/>
    <mergeCell ref="I82:J82"/>
    <mergeCell ref="I37:J37"/>
    <mergeCell ref="I38:J38"/>
    <mergeCell ref="I40:J40"/>
    <mergeCell ref="I79:J79"/>
    <mergeCell ref="I80:J80"/>
    <mergeCell ref="K5:N5"/>
    <mergeCell ref="I19:J19"/>
    <mergeCell ref="I27:J27"/>
    <mergeCell ref="I26:J26"/>
    <mergeCell ref="I50:J50"/>
    <mergeCell ref="I52:J52"/>
  </mergeCells>
  <conditionalFormatting sqref="F7:F82">
    <cfRule type="expression" dxfId="0" priority="1">
      <formula>F7="N/A"</formula>
    </cfRule>
  </conditionalFormatting>
  <dataValidations count="1">
    <dataValidation type="list" allowBlank="1" showInputMessage="1" showErrorMessage="1" sqref="F7:F82" xr:uid="{00000000-0002-0000-0000-000000000000}">
      <formula1>"N/A"</formula1>
    </dataValidation>
  </dataValidations>
  <printOptions horizontalCentered="1"/>
  <pageMargins left="0.15748031496062992" right="0.15748031496062992" top="0.31496062992125984" bottom="0.35433070866141736" header="0.23622047244094491" footer="0.15748031496062992"/>
  <pageSetup paperSize="9" scale="78" fitToHeight="0" orientation="landscape" r:id="rId1"/>
  <headerFooter>
    <oddFooter>&amp;R&amp;"Arial,Normal"Y03 F14(1)_07.04.2025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SORU LİSTESİ</vt:lpstr>
      <vt:lpstr>'SORU LİSTESİ'!Yazdırma_Alanı</vt:lpstr>
      <vt:lpstr>'SORU LİSTESİ'!Yazdırma_Başlıkları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2025-05-05T14:25:55Z</dcterms:modified>
</cp:coreProperties>
</file>