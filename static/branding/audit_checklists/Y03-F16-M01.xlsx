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D63302C0-F332-47F4-8A0E-308D1F2329B7}" xr6:coauthVersionLast="47" xr6:coauthVersionMax="47" xr10:uidLastSave="{00000000-0000-0000-0000-000000000000}"/>
  <bookViews>
    <workbookView xWindow="-108" yWindow="-108" windowWidth="23256" windowHeight="12456" tabRatio="541" xr2:uid="{00000000-000D-0000-FFFF-FFFF00000000}"/>
  </bookViews>
  <sheets>
    <sheet name="SORU LİSTESİ" sheetId="2" r:id="rId1"/>
  </sheets>
  <definedNames>
    <definedName name="_xlnm.Print_Area" localSheetId="0">'SORU LİSTESİ'!$C$2:$O$39</definedName>
    <definedName name="_xlnm.Print_Titles" localSheetId="0">'SORU LİSTESİ'!$2:$6</definedName>
  </definedNames>
  <calcPr calcId="191029"/>
</workbook>
</file>

<file path=xl/calcChain.xml><?xml version="1.0" encoding="utf-8"?>
<calcChain xmlns="http://schemas.openxmlformats.org/spreadsheetml/2006/main">
  <c r="H32" i="2" l="1"/>
  <c r="H33" i="2"/>
  <c r="H34" i="2"/>
  <c r="D35" i="2"/>
  <c r="H35" i="2"/>
  <c r="D36" i="2"/>
  <c r="H36" i="2"/>
  <c r="D37" i="2"/>
  <c r="H37" i="2"/>
  <c r="D38" i="2"/>
  <c r="H38" i="2"/>
  <c r="H24" i="2" l="1"/>
  <c r="D24" i="2"/>
  <c r="D23" i="2"/>
  <c r="D22" i="2"/>
  <c r="D21" i="2"/>
  <c r="D20" i="2"/>
  <c r="H19" i="2"/>
  <c r="D19" i="2"/>
  <c r="D18" i="2"/>
  <c r="D17" i="2"/>
  <c r="D16" i="2"/>
  <c r="H23" i="2"/>
  <c r="H22" i="2"/>
  <c r="H21" i="2"/>
  <c r="H20" i="2"/>
  <c r="H18" i="2"/>
  <c r="H17" i="2"/>
  <c r="H15" i="2"/>
  <c r="H16" i="2"/>
  <c r="D15" i="2"/>
  <c r="H13" i="2"/>
  <c r="H14" i="2"/>
  <c r="D13" i="2"/>
  <c r="D14" i="2"/>
  <c r="H12" i="2"/>
  <c r="D12" i="2"/>
  <c r="H11" i="2"/>
  <c r="H10" i="2"/>
  <c r="D11" i="2"/>
  <c r="D10" i="2"/>
  <c r="H9" i="2"/>
  <c r="D9" i="2"/>
  <c r="H8" i="2"/>
  <c r="H7" i="2"/>
  <c r="D8" i="2"/>
  <c r="D7" i="2"/>
</calcChain>
</file>

<file path=xl/sharedStrings.xml><?xml version="1.0" encoding="utf-8"?>
<sst xmlns="http://schemas.openxmlformats.org/spreadsheetml/2006/main" count="143" uniqueCount="98">
  <si>
    <t>DENETİM  RAPORU</t>
  </si>
  <si>
    <t>GÖZLEM / DELİL</t>
  </si>
  <si>
    <t>BULGU</t>
  </si>
  <si>
    <t>Evet</t>
  </si>
  <si>
    <t>Majör</t>
  </si>
  <si>
    <t>Minör</t>
  </si>
  <si>
    <t>İyil.</t>
  </si>
  <si>
    <t>Şart No</t>
  </si>
  <si>
    <t>NO</t>
  </si>
  <si>
    <t>DF</t>
  </si>
  <si>
    <t>No</t>
  </si>
  <si>
    <t>TİP</t>
  </si>
  <si>
    <t>Denetçi(ler):</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</si>
  <si>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</si>
  <si>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</si>
  <si>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</si>
  <si>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</si>
  <si>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</si>
  <si>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</si>
  <si>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</si>
  <si>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</si>
  <si>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</si>
  <si>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</si>
  <si>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</si>
  <si>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</si>
  <si>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</si>
  <si>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</si>
  <si>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</si>
  <si>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</si>
  <si>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</si>
  <si>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</si>
  <si>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</si>
  <si>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</si>
  <si>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</si>
  <si>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</si>
  <si>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</si>
  <si>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</si>
  <si>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</si>
  <si>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</si>
  <si>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</si>
  <si>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</si>
  <si>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Proje ve Satış Yöneticisi</t>
  </si>
  <si>
    <t>Müşteriler ile etkili yöntemlerle temas ediliyor mu?</t>
  </si>
  <si>
    <t>8.2.1</t>
  </si>
  <si>
    <t xml:space="preserve">Genel Müdür / Satış &amp; Proje Yöneticisi / Lojistik Yöneticisi/Müşteri
</t>
  </si>
  <si>
    <t>Karşılıklı yanlış anlaşılmayı önlemek için temstan teslimata kadar gerekli tüm sipariş bilgileri elde edilmiş midir?</t>
  </si>
  <si>
    <t>8.2.2</t>
  </si>
  <si>
    <t xml:space="preserve">Satış &amp; Proje Yöneticisi / Lojistik Yöneticisi/Müşteri
</t>
  </si>
  <si>
    <t>Sipariş bilgilerinde hangi bilgiler yer almalıdır? Kontrol ediliyor mu?</t>
  </si>
  <si>
    <t>Yeni ürünler için mali ve teknik analiz çalışmaları gerçekleştirlerek, teklifler sunuluyor ve siparişler alınıyor mu?</t>
  </si>
  <si>
    <t>8.2.3</t>
  </si>
  <si>
    <t xml:space="preserve">Genel Müdür,  Satış &amp; Proje  Kalite Sistem, Üretim &amp; Tasarım , Lojistik Yöneticileri
</t>
  </si>
  <si>
    <t>Sipariş fizibilitesi sonrası müşteri siparişleri teyit ediliyor mu?</t>
  </si>
  <si>
    <t xml:space="preserve">Genel Müdür,  Satış &amp; Proje  Kalite Sistem, Müşteri
</t>
  </si>
  <si>
    <t>Sözleşme değişiklikleri için tekrar fizibilite yapılıyor, değişiklikler ile ilgili fizibilite sonuçları taraflara bildiriliyor mu?</t>
  </si>
  <si>
    <t>8.2.4</t>
  </si>
  <si>
    <t xml:space="preserve">Müşteriye/ Tedarikçiye ait Varlıkların kapsamı belirlenmiş mi, bu kapsamdaki varlılar görsel olarak tanımlanmış mı,valıkların periyodik olarak gözden geçiriliyo mu, varlıklar hasar gördükleri yada kaybolduklarında müşteriye yazılı olarak bilgi veriliyor mu?
</t>
  </si>
  <si>
    <t>8.5.3</t>
  </si>
  <si>
    <t xml:space="preserve">Satış&amp;Proje Yön.
Kalite Sis. Yön.
Üretim&amp;Tasarım Yön.
</t>
  </si>
  <si>
    <t xml:space="preserve">T1 F 7.09 Müşteriye/Tedarikçiye Ait Varlıkları izleme Listesi
</t>
  </si>
  <si>
    <t>√</t>
  </si>
  <si>
    <t>DENETİM BULGULARI:</t>
  </si>
  <si>
    <t xml:space="preserve">1) Uygunsuzluklar: </t>
  </si>
  <si>
    <t>Uygunsuzluk tespit edilmemiştir.</t>
  </si>
  <si>
    <t>2) Kuvvetli Yönler:</t>
  </si>
  <si>
    <t>3) İyileştirme Önerileri:</t>
  </si>
  <si>
    <t>DENETİM SONUCU:</t>
  </si>
  <si>
    <t>İsim Soyisim</t>
  </si>
  <si>
    <t>Güllü Ünlü-Onur Yalçın</t>
  </si>
  <si>
    <t>Organizasyon kalite politikasına erişmektedir.</t>
  </si>
  <si>
    <t>sipariş formalarında ürün,miktar ,teslim tarihi vs.bilgiei yer almakta olup Canias programına işlenmekte ve üretim planlama gerçekleştirilmektedir.</t>
  </si>
  <si>
    <t>Her müşteri siparişi teyit edilmektedir. Portal ve e-mail ile cevap verilmektedir. Çogunluk olarak forecast göndermektedirler.Özellikle otomotiv grubunda depodan ürünler çekildekçe  depoya besleme yapılmaktadır. Bazı gruplarımızda forecast gönderildikten sonra haftalık kesinleşmiş siparişler gönderilmekte ve bu planlara göre ürünler sevk edilmektedir.</t>
  </si>
  <si>
    <t xml:space="preserve">İhracat ve ithalat ürünlerinin hazırlanıp yüklenmesinden teslim etme / teslim alma aşamasına kadar yürütülecek işlemler, dokümantasyon gereklilikleri tanımlanmış mıdır? </t>
  </si>
  <si>
    <t xml:space="preserve">İhracat ve İthalat işlemleri için nakliye ve gümrük tedarikçileri ile iletişim metodları ve sorumluluklar tanımlı mıdır? </t>
  </si>
  <si>
    <t xml:space="preserve">İhracat ve İthalat dokümanları hazırlama &amp; onaylama sorumluları tanımlanmış mıdır? </t>
  </si>
  <si>
    <t>G.Atlı-Ş. Özdemir &amp; 'Bahadır PAYİR-Funda Özkan</t>
  </si>
  <si>
    <t>Ana Referansı: T1 P02 PAZARLAMA VE SATIŞ YÖNETİMİ PROSEDÜRÜ &amp; T1 P01 Dış Ticaret Yönetimi Prosedürü</t>
  </si>
  <si>
    <t>İmza ve tarih : 12.05.2023</t>
  </si>
  <si>
    <t>D4.2 P01 Strateji Yönetimi ve Kurumsal İletişim Prosedürü+D4.3 T01 İletişim Talimatı</t>
  </si>
  <si>
    <t>Süreç Bazlı YGG toplantıları gerçekleştirilmekte ve analiz ve değerlendirmeler gerçekleştirilmektedir.</t>
  </si>
  <si>
    <t>D4.1 F07 SÜREÇ RİSK ANALİZİ T1 Pazarlama ve Satış Yönetimi+</t>
  </si>
  <si>
    <t>Sistem ve donanım şartları sağlanmıştır. Yazılım proğramı canias ile deteklenmektedir.</t>
  </si>
  <si>
    <t>T1 P02 Pazarlama &amp; Satış Prosedürü</t>
  </si>
  <si>
    <t>D2 T33 Görev Tanımı - Pazarlama &amp; Satış Yöneticisi +</t>
  </si>
  <si>
    <t>siparişler Canias Salt72modülü üzerinden tüm bilgilerine erişilmektedir.</t>
  </si>
  <si>
    <t>Müşteri memnuniyeti ölçülmektedir. Canias  Salt72 Müşteri Teslimat ve kalite değerlendirmesi gözlendi.</t>
  </si>
  <si>
    <t>Fizibilite çalışmaları yapılmakta olup mali ve teknik analizleri içermektedir. Teklif sunlup ilk sipariş oluşturuldaktan sonra yeni ürün ve ilgili teknik doküman ile raporları gönderilmektedir.PPAp Dokümanları mevcuttur.</t>
  </si>
  <si>
    <t>T1 P01 Dış Ticaret Yönetimi Prosedürü-T1 P02 Pazarlama &amp; Satış Prosedürü</t>
  </si>
  <si>
    <t>T1 P01 Dış Ticaret Yönetimi Prosedürü</t>
  </si>
  <si>
    <t>Denetim Tarihi ve Kodu: 14.05.2024</t>
  </si>
  <si>
    <t>Güllü Ünlü&amp; Harun Reşit Didin</t>
  </si>
  <si>
    <t>T1 SATIŞ PROJELERİNİN YÖNETİMİ</t>
  </si>
  <si>
    <t>2 ad Proses denetimi gerçekleştirilmiş.D8.6 F02 Proses Denetimi 698637-26.01.2024 &amp; Process Audit _Rain Cap_15.01.2024</t>
  </si>
  <si>
    <t>Günlük QRQC toplantıları ve yıllık olarak YGG de gözden geçirilmektedir.</t>
  </si>
  <si>
    <t>QLTT 07 Düzeltici faaliyetler düzenlenmekte ve tüm  Listede takip edilmektedir.Müşteri Şikayeti - 564327 blade üzerinde çapak+pahsız 10.10.2024 tarihinde kapatılmış olan müşteri şikayeti incelendi.</t>
  </si>
  <si>
    <t>D2 F 6.01 Personel Yetkinlik İzleme Tablosu 2024- Canias TRNT 21 Eğitim kayıtları tutulmakta ve personel sicil kayıtlarına eklenmektedir.20.03.2024 tarihinde WMF Yan Sap Kalite Kontrol Eğitimi ne Cennet Ülgül ün katılım sağlandığı görüldü.</t>
  </si>
  <si>
    <t>D4.4 F06 Tüm Süreçler Performans İzleme Tablosu 2024</t>
  </si>
  <si>
    <t>VALEO Electrical Systems ile Switch Cover 222747-2.kalıp  27.03.2024 tarihinde hazırlanmış fizibilite raporu mevcuttur.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</si>
</sst>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sz val="6"/>
      <color theme="1"/>
      <name val="Arial"/>
      <family val="2"/>
      <charset val="162"/>
    </font>
    <font>
      <b/>
      <sz val="10"/>
      <color theme="1"/>
      <name val="Arial"/>
      <family val="2"/>
      <charset val="162"/>
    </font>
    <font>
      <sz val="14"/>
      <color theme="1"/>
      <name val="Arial Tur"/>
      <charset val="162"/>
    </font>
    <font>
      <b/>
      <sz val="12"/>
      <name val="Arial"/>
      <family val="2"/>
      <charset val="162"/>
    </font>
    <font>
      <sz val="8"/>
      <name val="Arial"/>
      <family val="2"/>
      <charset val="162"/>
    </font>
    <font>
      <b/>
      <sz val="10"/>
      <name val="Arial"/>
      <family val="2"/>
      <charset val="162"/>
    </font>
    <font>
      <sz val="9"/>
      <color theme="1"/>
      <name val="Arial"/>
      <family val="2"/>
      <charset val="162"/>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4" fillId="0" borderId="0"/>
  </cellStyleXfs>
  <cellXfs count="100">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2" fillId="0" borderId="6" xfId="0" applyFont="1" applyBorder="1" applyAlignment="1">
      <alignment horizontal="center" vertical="center"/>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2" fillId="2" borderId="2" xfId="0" applyFont="1" applyFill="1" applyBorder="1"/>
    <xf numFmtId="0" fontId="10" fillId="4" borderId="0" xfId="0" applyFont="1" applyFill="1" applyAlignment="1">
      <alignment horizontal="center" vertical="center"/>
    </xf>
    <xf numFmtId="0" fontId="7" fillId="4" borderId="6" xfId="0" applyFont="1" applyFill="1" applyBorder="1" applyAlignment="1">
      <alignment vertical="center" wrapText="1"/>
    </xf>
    <xf numFmtId="0" fontId="1" fillId="0" borderId="0" xfId="0" applyFont="1"/>
    <xf numFmtId="49" fontId="6" fillId="2" borderId="2" xfId="0" applyNumberFormat="1" applyFont="1" applyFill="1" applyBorder="1" applyAlignment="1">
      <alignment horizontal="left" vertical="center"/>
    </xf>
    <xf numFmtId="0" fontId="3" fillId="2" borderId="2" xfId="0" applyFont="1" applyFill="1" applyBorder="1" applyAlignment="1">
      <alignment vertical="center"/>
    </xf>
    <xf numFmtId="0" fontId="6" fillId="2" borderId="2" xfId="0" quotePrefix="1" applyFont="1" applyFill="1" applyBorder="1" applyAlignment="1">
      <alignment horizontal="left" vertical="center"/>
    </xf>
    <xf numFmtId="0" fontId="7" fillId="4" borderId="6" xfId="0" applyFont="1" applyFill="1" applyBorder="1" applyAlignment="1">
      <alignment horizontal="center" vertical="center" wrapText="1"/>
    </xf>
    <xf numFmtId="49" fontId="7" fillId="4" borderId="6"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7" fillId="4" borderId="6" xfId="0" quotePrefix="1" applyFont="1" applyFill="1" applyBorder="1" applyAlignment="1">
      <alignment horizontal="left" vertical="center" wrapText="1"/>
    </xf>
    <xf numFmtId="49" fontId="11" fillId="4" borderId="1" xfId="0" applyNumberFormat="1" applyFont="1" applyFill="1" applyBorder="1" applyAlignment="1">
      <alignment horizontal="left" vertical="center" wrapText="1"/>
    </xf>
    <xf numFmtId="49" fontId="7" fillId="4" borderId="6" xfId="0" quotePrefix="1" applyNumberFormat="1" applyFont="1" applyFill="1" applyBorder="1" applyAlignment="1">
      <alignment horizontal="center" vertical="center" wrapText="1"/>
    </xf>
    <xf numFmtId="0" fontId="4" fillId="4" borderId="6" xfId="0" quotePrefix="1" applyFont="1" applyFill="1" applyBorder="1" applyAlignment="1">
      <alignment horizontal="left" vertical="center" wrapText="1"/>
    </xf>
    <xf numFmtId="49" fontId="11" fillId="4" borderId="1" xfId="0" quotePrefix="1" applyNumberFormat="1" applyFont="1" applyFill="1" applyBorder="1" applyAlignment="1">
      <alignment horizontal="left" vertical="center" wrapText="1"/>
    </xf>
    <xf numFmtId="0" fontId="4" fillId="4" borderId="6" xfId="0" applyFont="1" applyFill="1" applyBorder="1" applyAlignment="1">
      <alignment vertical="center" wrapText="1"/>
    </xf>
    <xf numFmtId="49" fontId="4" fillId="4" borderId="6" xfId="0" applyNumberFormat="1" applyFont="1" applyFill="1" applyBorder="1" applyAlignment="1">
      <alignment horizontal="center" vertical="center" wrapText="1"/>
    </xf>
    <xf numFmtId="0" fontId="1" fillId="2" borderId="2" xfId="0" quotePrefix="1" applyFont="1" applyFill="1" applyBorder="1" applyAlignment="1">
      <alignment horizontal="left"/>
    </xf>
    <xf numFmtId="0" fontId="1" fillId="0" borderId="6" xfId="0" applyFont="1" applyBorder="1"/>
    <xf numFmtId="0" fontId="1" fillId="0" borderId="6" xfId="0" applyFont="1" applyBorder="1" applyAlignment="1">
      <alignment wrapText="1"/>
    </xf>
    <xf numFmtId="0" fontId="13" fillId="0" borderId="6" xfId="0" applyFont="1" applyBorder="1" applyAlignment="1">
      <alignment horizontal="center" vertical="center"/>
    </xf>
    <xf numFmtId="0" fontId="14" fillId="5" borderId="0" xfId="0" applyFont="1" applyFill="1"/>
    <xf numFmtId="0" fontId="0" fillId="5" borderId="0" xfId="0" applyFill="1"/>
    <xf numFmtId="0" fontId="15" fillId="5" borderId="0" xfId="0" applyFont="1" applyFill="1"/>
    <xf numFmtId="0" fontId="16" fillId="5" borderId="0" xfId="0" applyFont="1" applyFill="1"/>
    <xf numFmtId="0" fontId="4" fillId="3" borderId="10" xfId="0" applyFont="1" applyFill="1" applyBorder="1" applyAlignment="1">
      <alignment horizontal="left"/>
    </xf>
    <xf numFmtId="0" fontId="0" fillId="3" borderId="12" xfId="0" applyFill="1" applyBorder="1"/>
    <xf numFmtId="0" fontId="0" fillId="3" borderId="9" xfId="0" applyFill="1" applyBorder="1"/>
    <xf numFmtId="0" fontId="4" fillId="5" borderId="0" xfId="0" applyFont="1" applyFill="1" applyAlignment="1">
      <alignment horizontal="left"/>
    </xf>
    <xf numFmtId="0" fontId="0" fillId="3" borderId="8" xfId="0" applyFill="1" applyBorder="1"/>
    <xf numFmtId="0" fontId="0" fillId="3" borderId="10" xfId="0" applyFill="1" applyBorder="1" applyAlignment="1">
      <alignment horizontal="center"/>
    </xf>
    <xf numFmtId="0" fontId="0" fillId="5" borderId="0" xfId="0" applyFill="1" applyAlignment="1">
      <alignment horizontal="center"/>
    </xf>
    <xf numFmtId="0" fontId="4" fillId="5" borderId="0" xfId="0" applyFont="1" applyFill="1"/>
    <xf numFmtId="49" fontId="1" fillId="3" borderId="0" xfId="0" applyNumberFormat="1" applyFont="1" applyFill="1" applyAlignment="1">
      <alignment horizontal="left" vertical="center"/>
    </xf>
    <xf numFmtId="49" fontId="1" fillId="3" borderId="0" xfId="0" applyNumberFormat="1" applyFont="1" applyFill="1" applyAlignment="1">
      <alignment horizontal="center" vertical="center"/>
    </xf>
    <xf numFmtId="0" fontId="4" fillId="3" borderId="0" xfId="0" applyFont="1" applyFill="1"/>
    <xf numFmtId="0" fontId="0" fillId="3" borderId="0" xfId="0" applyFill="1"/>
    <xf numFmtId="49" fontId="6" fillId="2" borderId="1" xfId="0" quotePrefix="1" applyNumberFormat="1" applyFont="1" applyFill="1" applyBorder="1" applyAlignment="1">
      <alignment horizontal="left" vertical="center"/>
    </xf>
    <xf numFmtId="0" fontId="7" fillId="0" borderId="6" xfId="0" applyFont="1" applyBorder="1" applyAlignment="1">
      <alignment horizontal="center" vertical="center" wrapText="1"/>
    </xf>
    <xf numFmtId="49" fontId="7" fillId="0" borderId="6" xfId="0" applyNumberFormat="1" applyFont="1" applyBorder="1" applyAlignment="1">
      <alignment horizontal="center" vertical="center" wrapText="1"/>
    </xf>
    <xf numFmtId="0" fontId="9"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0" fillId="3" borderId="7" xfId="0" applyFill="1" applyBorder="1" applyAlignment="1">
      <alignment horizontal="left"/>
    </xf>
    <xf numFmtId="0" fontId="0" fillId="3" borderId="11"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0" fillId="3" borderId="7" xfId="0" applyFill="1" applyBorder="1" applyAlignment="1">
      <alignment horizontal="center"/>
    </xf>
    <xf numFmtId="0" fontId="0" fillId="3" borderId="11" xfId="0" applyFill="1" applyBorder="1" applyAlignment="1">
      <alignment horizontal="center"/>
    </xf>
    <xf numFmtId="0" fontId="0" fillId="3" borderId="0" xfId="0" applyFill="1" applyAlignment="1">
      <alignment horizontal="left"/>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9" fillId="4" borderId="1" xfId="0" quotePrefix="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0" fontId="2" fillId="0" borderId="0" xfId="0" applyFont="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9" xfId="0" applyFont="1" applyFill="1" applyBorder="1" applyAlignment="1">
      <alignment horizontal="center" vertical="center"/>
    </xf>
    <xf numFmtId="0" fontId="6" fillId="2"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O56"/>
  <sheetViews>
    <sheetView showGridLines="0" tabSelected="1" zoomScaleNormal="100" workbookViewId="0">
      <pane ySplit="6" topLeftCell="A31" activePane="bottomLeft" state="frozen"/>
      <selection pane="bottomLeft" activeCell="E33" sqref="E33"/>
    </sheetView>
  </sheetViews>
  <sheetFormatPr defaultColWidth="9.109375" defaultRowHeight="13.8" x14ac:dyDescent="0.25"/>
  <cols>
    <col min="1" max="1" width="3.44140625" style="1" customWidth="1"/>
    <col min="2" max="2" width="4" style="8" customWidth="1"/>
    <col min="3" max="3" width="5.109375" style="1" customWidth="1"/>
    <col min="4" max="4" width="71.33203125" style="1" customWidth="1"/>
    <col min="5" max="5" width="6.109375" style="1" customWidth="1"/>
    <col min="6" max="6" width="5.44140625" style="1" customWidth="1"/>
    <col min="7" max="7" width="5.5546875" style="10" customWidth="1"/>
    <col min="8" max="8" width="10.5546875" style="10" customWidth="1"/>
    <col min="9" max="9" width="13.6640625" style="1" customWidth="1"/>
    <col min="10" max="10" width="31.6640625" style="1" customWidth="1"/>
    <col min="11" max="14" width="5.109375" style="1" customWidth="1"/>
    <col min="15" max="15" width="7.33203125" style="1" customWidth="1"/>
    <col min="16" max="16384" width="9.109375" style="1"/>
  </cols>
  <sheetData>
    <row r="1" spans="2:15" ht="6.75" customHeight="1" x14ac:dyDescent="0.25"/>
    <row r="2" spans="2:15" ht="21" x14ac:dyDescent="0.4">
      <c r="C2" s="14" t="s">
        <v>0</v>
      </c>
      <c r="D2" s="14"/>
      <c r="E2" s="15"/>
      <c r="F2" s="15"/>
      <c r="G2" s="91" t="s">
        <v>36</v>
      </c>
      <c r="H2" s="91"/>
      <c r="I2" s="23" t="s">
        <v>91</v>
      </c>
      <c r="J2" s="15"/>
      <c r="K2" s="15"/>
      <c r="L2" s="15"/>
      <c r="M2" s="15"/>
      <c r="N2" s="15"/>
      <c r="O2" s="16"/>
    </row>
    <row r="3" spans="2:15" ht="21" x14ac:dyDescent="0.4">
      <c r="C3" s="54" t="s">
        <v>89</v>
      </c>
      <c r="D3" s="11"/>
      <c r="E3" s="12"/>
      <c r="F3" s="12"/>
      <c r="G3" s="2" t="s">
        <v>12</v>
      </c>
      <c r="H3" s="2"/>
      <c r="I3" s="34" t="s">
        <v>90</v>
      </c>
      <c r="J3" s="17"/>
      <c r="K3" s="12"/>
      <c r="L3" s="12"/>
      <c r="M3" s="12"/>
      <c r="N3" s="12"/>
      <c r="O3" s="13"/>
    </row>
    <row r="4" spans="2:15" ht="49.8" customHeight="1" x14ac:dyDescent="0.25">
      <c r="C4" s="94" t="s">
        <v>76</v>
      </c>
      <c r="D4" s="95"/>
      <c r="E4" s="21"/>
      <c r="F4" s="21"/>
      <c r="G4" s="2" t="s">
        <v>35</v>
      </c>
      <c r="H4" s="2"/>
      <c r="I4" s="22" t="s">
        <v>41</v>
      </c>
      <c r="J4" s="17"/>
      <c r="K4" s="84" t="s">
        <v>75</v>
      </c>
      <c r="L4" s="84"/>
      <c r="M4" s="84"/>
      <c r="N4" s="84"/>
      <c r="O4" s="85"/>
    </row>
    <row r="5" spans="2:15" ht="15" customHeight="1" x14ac:dyDescent="0.25">
      <c r="B5" s="86" t="s">
        <v>11</v>
      </c>
      <c r="C5" s="96" t="s">
        <v>8</v>
      </c>
      <c r="D5" s="92" t="s">
        <v>39</v>
      </c>
      <c r="E5" s="98" t="s">
        <v>40</v>
      </c>
      <c r="F5" s="92" t="s">
        <v>37</v>
      </c>
      <c r="G5" s="82" t="s">
        <v>7</v>
      </c>
      <c r="H5" s="82" t="s">
        <v>34</v>
      </c>
      <c r="I5" s="87" t="s">
        <v>1</v>
      </c>
      <c r="J5" s="88"/>
      <c r="K5" s="79" t="s">
        <v>2</v>
      </c>
      <c r="L5" s="80"/>
      <c r="M5" s="80"/>
      <c r="N5" s="81"/>
      <c r="O5" s="3" t="s">
        <v>9</v>
      </c>
    </row>
    <row r="6" spans="2:15" ht="15" customHeight="1" x14ac:dyDescent="0.25">
      <c r="B6" s="86"/>
      <c r="C6" s="97"/>
      <c r="D6" s="93"/>
      <c r="E6" s="99"/>
      <c r="F6" s="93"/>
      <c r="G6" s="83"/>
      <c r="H6" s="83"/>
      <c r="I6" s="89"/>
      <c r="J6" s="90"/>
      <c r="K6" s="4" t="s">
        <v>3</v>
      </c>
      <c r="L6" s="4" t="s">
        <v>4</v>
      </c>
      <c r="M6" s="4" t="s">
        <v>5</v>
      </c>
      <c r="N6" s="4" t="s">
        <v>6</v>
      </c>
      <c r="O6" s="5" t="s">
        <v>10</v>
      </c>
    </row>
    <row r="7" spans="2:15" ht="52.8" x14ac:dyDescent="0.25">
      <c r="B7" s="9">
        <v>1</v>
      </c>
      <c r="C7" s="6">
        <v>1</v>
      </c>
      <c r="D7" s="19" t="str">
        <f>I2&amp; " süreci;"&amp; "girdi prosesleri, girdileri, çıktıları, çıktı prosesleri, işlemleri, işlemlerin yürütülme şekli, organizasyonu, altyapısı, riskleri, olası değişiklikleri, iyileştirme için performans parametreleri tanımlanmış mıdır? DOKÜMANTE BİLGİ (4.4.1)"</f>
        <v>T1 SATIŞ PROJELERİNİN YÖNETİMİ süreci;girdi prosesleri, girdileri, çıktıları, çıktı prosesleri, işlemleri, işlemlerin yürütülme şekli, organizasyonu, altyapısı, riskleri, olası değişiklikleri, iyileştirme için performans parametreleri tanımlanmış mıdır? DOKÜMANTE BİLGİ (4.4.1)</v>
      </c>
      <c r="E7" s="19"/>
      <c r="F7" s="24"/>
      <c r="G7" s="25" t="s">
        <v>13</v>
      </c>
      <c r="H7" s="26" t="str">
        <f t="shared" ref="H7:H12" si="0">$I$4</f>
        <v>Proje ve Satış Yöneticisi</v>
      </c>
      <c r="I7" s="78" t="s">
        <v>80</v>
      </c>
      <c r="J7" s="75"/>
      <c r="K7" s="37" t="s">
        <v>60</v>
      </c>
      <c r="L7" s="7"/>
      <c r="M7" s="7"/>
      <c r="N7" s="7"/>
      <c r="O7" s="7"/>
    </row>
    <row r="8" spans="2:15" ht="26.4" x14ac:dyDescent="0.25">
      <c r="B8" s="8">
        <v>1</v>
      </c>
      <c r="C8" s="6">
        <v>2</v>
      </c>
      <c r="D8" s="19" t="str">
        <f>I2&amp; " süreci;"&amp; " için risk ve fırsatları belirleme faaliyetleri gerçekleştirilmekte midir?"</f>
        <v>T1 SATIŞ PROJELERİNİN YÖNETİMİ süreci; için risk ve fırsatları belirleme faaliyetleri gerçekleştirilmekte midir?</v>
      </c>
      <c r="E8" s="19"/>
      <c r="F8" s="24"/>
      <c r="G8" s="25" t="s">
        <v>15</v>
      </c>
      <c r="H8" s="26" t="str">
        <f t="shared" si="0"/>
        <v>Proje ve Satış Yöneticisi</v>
      </c>
      <c r="I8" s="78" t="s">
        <v>80</v>
      </c>
      <c r="J8" s="75"/>
      <c r="K8" s="37" t="s">
        <v>60</v>
      </c>
      <c r="L8" s="7"/>
      <c r="M8" s="7"/>
      <c r="N8" s="7"/>
      <c r="O8" s="7"/>
    </row>
    <row r="9" spans="2:15" ht="26.4" x14ac:dyDescent="0.25">
      <c r="B9" s="8">
        <v>1</v>
      </c>
      <c r="C9" s="6">
        <v>3</v>
      </c>
      <c r="D9" s="19" t="str">
        <f>I2&amp; " süreci;"&amp; " için amaçlar ve bu amaçlara ulaşmak için aksiyonlar belirlenmiş midir? DOKÜMANTE BİLGİ (6.2.1)"</f>
        <v>T1 SATIŞ PROJELERİNİN YÖNETİMİ süreci; için amaçlar ve bu amaçlara ulaşmak için aksiyonlar belirlenmiş midir? DOKÜMANTE BİLGİ (6.2.1)</v>
      </c>
      <c r="E9" s="19"/>
      <c r="F9" s="24"/>
      <c r="G9" s="25" t="s">
        <v>14</v>
      </c>
      <c r="H9" s="26" t="str">
        <f t="shared" si="0"/>
        <v>Proje ve Satış Yöneticisi</v>
      </c>
      <c r="I9" s="78" t="s">
        <v>80</v>
      </c>
      <c r="J9" s="75"/>
      <c r="K9" s="37" t="s">
        <v>60</v>
      </c>
      <c r="L9" s="7"/>
      <c r="M9" s="7"/>
      <c r="N9" s="7"/>
      <c r="O9" s="7"/>
    </row>
    <row r="10" spans="2:15" ht="26.4" x14ac:dyDescent="0.25">
      <c r="B10" s="8">
        <v>1</v>
      </c>
      <c r="C10" s="6">
        <v>4</v>
      </c>
      <c r="D10" s="19" t="str">
        <f>I2&amp; " süreci;"&amp; " için sistematik olarak değişiklikler belirleniyor mu?"</f>
        <v>T1 SATIŞ PROJELERİNİN YÖNETİMİ süreci; için sistematik olarak değişiklikler belirleniyor mu?</v>
      </c>
      <c r="E10" s="19"/>
      <c r="F10" s="24"/>
      <c r="G10" s="25" t="s">
        <v>16</v>
      </c>
      <c r="H10" s="26" t="str">
        <f t="shared" si="0"/>
        <v>Proje ve Satış Yöneticisi</v>
      </c>
      <c r="I10" s="58"/>
      <c r="J10" s="59"/>
      <c r="K10" s="37" t="s">
        <v>60</v>
      </c>
      <c r="L10" s="7"/>
      <c r="M10" s="7"/>
      <c r="N10" s="7"/>
      <c r="O10" s="7"/>
    </row>
    <row r="11" spans="2:15" ht="26.4" customHeight="1" x14ac:dyDescent="0.25">
      <c r="B11" s="8">
        <v>1</v>
      </c>
      <c r="C11" s="6">
        <v>5</v>
      </c>
      <c r="D11" s="19" t="str">
        <f>I2&amp; " süreci;"&amp; " etkili bir iletişim planı var mıdır, bu plana göre etkili iletişimler gerçekleştirilmekte midir"</f>
        <v>T1 SATIŞ PROJELERİNİN YÖNETİMİ süreci; etkili bir iletişim planı var mıdır, bu plana göre etkili iletişimler gerçekleştirilmekte midir</v>
      </c>
      <c r="E11" s="19"/>
      <c r="F11" s="24"/>
      <c r="G11" s="25" t="s">
        <v>21</v>
      </c>
      <c r="H11" s="26" t="str">
        <f t="shared" si="0"/>
        <v>Proje ve Satış Yöneticisi</v>
      </c>
      <c r="I11" s="74" t="s">
        <v>78</v>
      </c>
      <c r="J11" s="75"/>
      <c r="K11" s="37" t="s">
        <v>60</v>
      </c>
      <c r="L11" s="7"/>
      <c r="M11" s="7"/>
      <c r="N11" s="7"/>
      <c r="O11" s="7"/>
    </row>
    <row r="12" spans="2:15" ht="39.6" customHeight="1" x14ac:dyDescent="0.25">
      <c r="B12" s="8">
        <v>1</v>
      </c>
      <c r="C12" s="6">
        <v>6</v>
      </c>
      <c r="D12" s="19" t="str">
        <f>I2&amp; " süreci;"&amp; " iç tetkikleri, iç tetkik posedürüne uygun olarak olarak gerçekleştiriliyor mu, tetkik sonuçları iyileştirme faaliyetleri için girdi olarak kullanılıyor mu? DOKÜMANTE BİLGİ (9.2.2.f)"</f>
        <v>T1 SATIŞ PROJELERİNİN YÖNETİMİ süreci; iç tetkikleri, iç tetkik posedürüne uygun olarak olarak gerçekleştiriliyor mu, tetkik sonuçları iyileştirme faaliyetleri için girdi olarak kullanılıyor mu? DOKÜMANTE BİLGİ (9.2.2.f)</v>
      </c>
      <c r="E12" s="19"/>
      <c r="F12" s="24"/>
      <c r="G12" s="25" t="s">
        <v>17</v>
      </c>
      <c r="H12" s="26" t="str">
        <f t="shared" si="0"/>
        <v>Proje ve Satış Yöneticisi</v>
      </c>
      <c r="I12" s="74" t="s">
        <v>92</v>
      </c>
      <c r="J12" s="75"/>
      <c r="K12" s="37" t="s">
        <v>60</v>
      </c>
      <c r="L12" s="7"/>
      <c r="M12" s="7"/>
      <c r="N12" s="7"/>
      <c r="O12" s="7"/>
    </row>
    <row r="13" spans="2:15" ht="26.4" customHeight="1" x14ac:dyDescent="0.25">
      <c r="B13" s="8">
        <v>1</v>
      </c>
      <c r="C13" s="6">
        <v>7</v>
      </c>
      <c r="D13" s="19" t="str">
        <f>I2&amp; " süreci "&amp;  "belirlenen aralıklarda gözden geçiriliyor mu? DOKÜMANTE BİLGİ (9.3.3)"</f>
        <v>T1 SATIŞ PROJELERİNİN YÖNETİMİ süreci belirlenen aralıklarda gözden geçiriliyor mu? DOKÜMANTE BİLGİ (9.3.3)</v>
      </c>
      <c r="E13" s="19"/>
      <c r="F13" s="24"/>
      <c r="G13" s="25" t="s">
        <v>18</v>
      </c>
      <c r="H13" s="26" t="str">
        <f t="shared" ref="H13:H24" si="1">$I$4</f>
        <v>Proje ve Satış Yöneticisi</v>
      </c>
      <c r="I13" s="74" t="s">
        <v>93</v>
      </c>
      <c r="J13" s="75"/>
      <c r="K13" s="37" t="s">
        <v>60</v>
      </c>
      <c r="L13" s="7"/>
      <c r="M13" s="7"/>
      <c r="N13" s="7"/>
      <c r="O13" s="7"/>
    </row>
    <row r="14" spans="2:15" ht="39" customHeight="1" x14ac:dyDescent="0.25">
      <c r="B14" s="8">
        <v>1</v>
      </c>
      <c r="C14" s="6">
        <v>8</v>
      </c>
      <c r="D14" s="19" t="str">
        <f>I2&amp; " süreci "&amp; " ile ilgili uygunsuzlar için etkili düzeltici faaliyetler gerçekleştiriliyor mu? DOKÜMANTE BİLGİ (10.2.2)"</f>
        <v>T1 SATIŞ PROJELERİNİN YÖNETİMİ süreci  ile ilgili uygunsuzlar için etkili düzeltici faaliyetler gerçekleştiriliyor mu? DOKÜMANTE BİLGİ (10.2.2)</v>
      </c>
      <c r="E14" s="19"/>
      <c r="F14" s="24"/>
      <c r="G14" s="25" t="s">
        <v>19</v>
      </c>
      <c r="H14" s="26" t="str">
        <f t="shared" si="1"/>
        <v>Proje ve Satış Yöneticisi</v>
      </c>
      <c r="I14" s="74" t="s">
        <v>94</v>
      </c>
      <c r="J14" s="75"/>
      <c r="K14" s="37" t="s">
        <v>60</v>
      </c>
      <c r="L14" s="7"/>
      <c r="M14" s="35"/>
      <c r="N14" s="7"/>
      <c r="O14" s="36"/>
    </row>
    <row r="15" spans="2:15" ht="39.6" customHeight="1" x14ac:dyDescent="0.25">
      <c r="B15" s="8">
        <v>1</v>
      </c>
      <c r="C15" s="6">
        <v>9</v>
      </c>
      <c r="D15" s="19" t="str">
        <f>I2&amp; " süreci, "&amp;  "analiz ve değerlendirmenin sonuçlarını, yönetimin gözden geçirmesi çıktılarını iyileştirme faaliyetlerini belirlemek için kullanmakta mıdır?"</f>
        <v>T1 SATIŞ PROJELERİNİN YÖNETİMİ süreci, analiz ve değerlendirmenin sonuçlarını, yönetimin gözden geçirmesi çıktılarını iyileştirme faaliyetlerini belirlemek için kullanmakta mıdır?</v>
      </c>
      <c r="E15" s="19"/>
      <c r="F15" s="24"/>
      <c r="G15" s="25" t="s">
        <v>20</v>
      </c>
      <c r="H15" s="26" t="str">
        <f t="shared" si="1"/>
        <v>Proje ve Satış Yöneticisi</v>
      </c>
      <c r="I15" s="74" t="s">
        <v>79</v>
      </c>
      <c r="J15" s="75"/>
      <c r="K15" s="37" t="s">
        <v>60</v>
      </c>
      <c r="L15" s="7"/>
      <c r="M15" s="7"/>
      <c r="N15" s="7"/>
      <c r="O15" s="7"/>
    </row>
    <row r="16" spans="2:15" ht="26.4" x14ac:dyDescent="0.25">
      <c r="B16" s="8">
        <v>2</v>
      </c>
      <c r="C16" s="6">
        <v>10</v>
      </c>
      <c r="D16" s="19" t="str">
        <f>I2&amp; " sürecinin; "&amp;  "altyapısı için ihtiyaçları belirlenmiş, sağlanmış mıdır, prosese ait altyapının bakımları gerçekleştirilmekte midir?"</f>
        <v>T1 SATIŞ PROJELERİNİN YÖNETİMİ sürecinin; altyapısı için ihtiyaçları belirlenmiş, sağlanmış mıdır, prosese ait altyapının bakımları gerçekleştirilmekte midir?</v>
      </c>
      <c r="E16" s="19"/>
      <c r="F16" s="24"/>
      <c r="G16" s="25" t="s">
        <v>22</v>
      </c>
      <c r="H16" s="26" t="str">
        <f t="shared" si="1"/>
        <v>Proje ve Satış Yöneticisi</v>
      </c>
      <c r="I16" s="74" t="s">
        <v>81</v>
      </c>
      <c r="J16" s="75"/>
      <c r="K16" s="37" t="s">
        <v>60</v>
      </c>
      <c r="L16" s="7"/>
      <c r="M16" s="7"/>
      <c r="N16" s="7"/>
      <c r="O16" s="7"/>
    </row>
    <row r="17" spans="2:15" ht="26.4" x14ac:dyDescent="0.25">
      <c r="B17" s="8">
        <v>2</v>
      </c>
      <c r="C17" s="6">
        <v>11</v>
      </c>
      <c r="D17" s="19" t="str">
        <f>I2&amp; " sürecinin; "&amp; "çalışmalarını etkin şekilde yürütmesi için çevre şartları sağlanmış mıdır?"</f>
        <v>T1 SATIŞ PROJELERİNİN YÖNETİMİ sürecinin; çalışmalarını etkin şekilde yürütmesi için çevre şartları sağlanmış mıdır?</v>
      </c>
      <c r="E17" s="19"/>
      <c r="F17" s="24"/>
      <c r="G17" s="25" t="s">
        <v>23</v>
      </c>
      <c r="H17" s="26" t="str">
        <f t="shared" si="1"/>
        <v>Proje ve Satış Yöneticisi</v>
      </c>
      <c r="I17" s="74" t="s">
        <v>81</v>
      </c>
      <c r="J17" s="75"/>
      <c r="K17" s="37" t="s">
        <v>60</v>
      </c>
      <c r="L17" s="7"/>
      <c r="M17" s="7"/>
      <c r="N17" s="7"/>
      <c r="O17" s="7"/>
    </row>
    <row r="18" spans="2:15" ht="26.4" x14ac:dyDescent="0.25">
      <c r="B18" s="8">
        <v>2</v>
      </c>
      <c r="C18" s="6">
        <v>12</v>
      </c>
      <c r="D18" s="19" t="str">
        <f>I2&amp; " sürecinin "&amp; "amaca uygun izleme ve ölçme ekipmanlarını kullanıyor, bunları tanımlıyor, izlenebilirliğini sağlıyor mu"</f>
        <v>T1 SATIŞ PROJELERİNİN YÖNETİMİ sürecinin amaca uygun izleme ve ölçme ekipmanlarını kullanıyor, bunları tanımlıyor, izlenebilirliğini sağlıyor mu</v>
      </c>
      <c r="E18" s="19"/>
      <c r="F18" s="24"/>
      <c r="G18" s="25" t="s">
        <v>24</v>
      </c>
      <c r="H18" s="26" t="str">
        <f t="shared" si="1"/>
        <v>Proje ve Satış Yöneticisi</v>
      </c>
      <c r="I18" s="60" t="s">
        <v>82</v>
      </c>
      <c r="J18" s="61"/>
      <c r="K18" s="37" t="s">
        <v>60</v>
      </c>
      <c r="L18" s="7"/>
      <c r="M18" s="7"/>
      <c r="N18" s="7"/>
      <c r="O18" s="7"/>
    </row>
    <row r="19" spans="2:15" ht="52.8" x14ac:dyDescent="0.25">
      <c r="B19" s="8">
        <v>2</v>
      </c>
      <c r="C19" s="6">
        <v>13</v>
      </c>
      <c r="D19" s="19" t="str">
        <f>I2&amp; " sürecinin "&amp; "ölçme ekipmanlarının uluslararası izlenebilir doğrulama ve kalibrasyon faaliyetlerini gerçekleştiriyor, doğrulama ve kalibrasyon sonuçları ile ilgili gerekli tedbirleri alıyor mu? DOKÜMANTE BİLGİ (7.1.5.1)"</f>
        <v>T1 SATIŞ PROJELERİNİN YÖNETİMİ sürecinin ölçme ekipmanlarının uluslararası izlenebilir doğrulama ve kalibrasyon faaliyetlerini gerçekleştiriyor, doğrulama ve kalibrasyon sonuçları ile ilgili gerekli tedbirleri alıyor mu? DOKÜMANTE BİLGİ (7.1.5.1)</v>
      </c>
      <c r="E19" s="19"/>
      <c r="F19" s="24"/>
      <c r="G19" s="25" t="s">
        <v>24</v>
      </c>
      <c r="H19" s="26" t="str">
        <f t="shared" si="1"/>
        <v>Proje ve Satış Yöneticisi</v>
      </c>
      <c r="I19" s="60"/>
      <c r="J19" s="61"/>
      <c r="K19" s="37" t="s">
        <v>60</v>
      </c>
      <c r="L19" s="7"/>
      <c r="M19" s="7"/>
      <c r="N19" s="7"/>
      <c r="O19" s="7"/>
    </row>
    <row r="20" spans="2:15" ht="26.4" customHeight="1" x14ac:dyDescent="0.25">
      <c r="B20" s="8">
        <v>3</v>
      </c>
      <c r="C20" s="6">
        <v>14</v>
      </c>
      <c r="D20" s="19" t="str">
        <f>I2&amp; " sürecinin "&amp; "organizasyonu kalite politikasını ulaşıyormu ve özünü ifade edebiliyor mu? DOKÜMANTE BİLGİ (5.2.2.a)"</f>
        <v>T1 SATIŞ PROJELERİNİN YÖNETİMİ sürecinin organizasyonu kalite politikasını ulaşıyormu ve özünü ifade edebiliyor mu? DOKÜMANTE BİLGİ (5.2.2.a)</v>
      </c>
      <c r="E20" s="19"/>
      <c r="F20" s="24"/>
      <c r="G20" s="25" t="s">
        <v>25</v>
      </c>
      <c r="H20" s="26" t="str">
        <f t="shared" si="1"/>
        <v>Proje ve Satış Yöneticisi</v>
      </c>
      <c r="I20" s="60" t="s">
        <v>69</v>
      </c>
      <c r="J20" s="61"/>
      <c r="K20" s="37" t="s">
        <v>60</v>
      </c>
      <c r="L20" s="7"/>
      <c r="M20" s="7"/>
      <c r="N20" s="7"/>
      <c r="O20" s="7"/>
    </row>
    <row r="21" spans="2:15" ht="39.6" customHeight="1" x14ac:dyDescent="0.25">
      <c r="B21" s="8">
        <v>3</v>
      </c>
      <c r="C21" s="6">
        <v>15</v>
      </c>
      <c r="D21" s="19" t="str">
        <f>I2&amp; " sürecinin "&amp; "organizasyonuna ait roller, bu rollere ait görevler yazılı olarak belirlenmiş mi, rol sahipleri bu yazılı görev tanımlarına ulaşıyor ve gereklerini yapıyorlar mı?"</f>
        <v>T1 SATIŞ PROJELERİNİN YÖNETİMİ sürecinin organizasyonuna ait roller, bu rollere ait görevler yazılı olarak belirlenmiş mi, rol sahipleri bu yazılı görev tanımlarına ulaşıyor ve gereklerini yapıyorlar mı?</v>
      </c>
      <c r="E21" s="19"/>
      <c r="F21" s="24"/>
      <c r="G21" s="25" t="s">
        <v>26</v>
      </c>
      <c r="H21" s="26" t="str">
        <f t="shared" si="1"/>
        <v>Proje ve Satış Yöneticisi</v>
      </c>
      <c r="I21" s="74" t="s">
        <v>83</v>
      </c>
      <c r="J21" s="75"/>
      <c r="K21" s="37" t="s">
        <v>60</v>
      </c>
      <c r="L21" s="7"/>
      <c r="M21" s="7"/>
      <c r="N21" s="7"/>
      <c r="O21" s="7"/>
    </row>
    <row r="22" spans="2:15" ht="42.6" customHeight="1" x14ac:dyDescent="0.25">
      <c r="B22" s="8">
        <v>3</v>
      </c>
      <c r="C22" s="6">
        <v>16</v>
      </c>
      <c r="D22" s="19" t="str">
        <f>I2&amp; " sürecinin "&amp; "organizasyonu için yeterlilik tanımlarına uygun personel tayin ve tedarik edilmiş midir?"</f>
        <v>T1 SATIŞ PROJELERİNİN YÖNETİMİ sürecinin organizasyonu için yeterlilik tanımlarına uygun personel tayin ve tedarik edilmiş midir?</v>
      </c>
      <c r="E22" s="19"/>
      <c r="F22" s="24"/>
      <c r="G22" s="25" t="s">
        <v>27</v>
      </c>
      <c r="H22" s="26" t="str">
        <f t="shared" si="1"/>
        <v>Proje ve Satış Yöneticisi</v>
      </c>
      <c r="I22" s="74" t="s">
        <v>95</v>
      </c>
      <c r="J22" s="75"/>
      <c r="K22" s="37" t="s">
        <v>60</v>
      </c>
      <c r="L22" s="7"/>
      <c r="M22" s="7"/>
      <c r="N22" s="7"/>
      <c r="O22" s="7"/>
    </row>
    <row r="23" spans="2:15" ht="39.6" customHeight="1" x14ac:dyDescent="0.25">
      <c r="B23" s="8">
        <v>3</v>
      </c>
      <c r="C23" s="6">
        <v>17</v>
      </c>
      <c r="D23" s="19" t="str">
        <f>I2&amp; " sürecinin "&amp; "organizasyonunda yer alan roller için yeterlilikler belirlenmiş ve bu yeterliliklerin sağlanması için eğitim vb. faaliyetler gerçekleştiriliyor ve etkinliği değerlendiriliyor mu? DOKÜMANTE BİLGİ (7.2.d)"</f>
        <v>T1 SATIŞ PROJELERİNİN YÖNETİMİ sürecinin organizasyonunda yer alan roller için yeterlilikler belirlenmiş ve bu yeterliliklerin sağlanması için eğitim vb. faaliyetler gerçekleştiriliyor ve etkinliği değerlendiriliyor mu? DOKÜMANTE BİLGİ (7.2.d)</v>
      </c>
      <c r="E23" s="19"/>
      <c r="F23" s="24"/>
      <c r="G23" s="25" t="s">
        <v>28</v>
      </c>
      <c r="H23" s="26" t="str">
        <f t="shared" si="1"/>
        <v>Proje ve Satış Yöneticisi</v>
      </c>
      <c r="I23" s="74" t="s">
        <v>95</v>
      </c>
      <c r="J23" s="75"/>
      <c r="K23" s="37" t="s">
        <v>60</v>
      </c>
      <c r="L23" s="7"/>
      <c r="M23" s="7"/>
      <c r="N23" s="7"/>
      <c r="O23" s="7"/>
    </row>
    <row r="24" spans="2:15" ht="39.6" customHeight="1" x14ac:dyDescent="0.25">
      <c r="B24" s="8">
        <v>3</v>
      </c>
      <c r="C24" s="6">
        <v>18</v>
      </c>
      <c r="D24" s="19" t="str">
        <f>I2&amp; " sürecinin "&amp; "organizasyonunda görev alan personelin, amaçlara ulaşmak veya amaçlardan sapma konularında farkındalıkları yeterli midir?"</f>
        <v>T1 SATIŞ PROJELERİNİN YÖNETİMİ sürecinin organizasyonunda görev alan personelin, amaçlara ulaşmak veya amaçlardan sapma konularında farkındalıkları yeterli midir?</v>
      </c>
      <c r="E24" s="19"/>
      <c r="F24" s="24"/>
      <c r="G24" s="25" t="s">
        <v>29</v>
      </c>
      <c r="H24" s="26" t="str">
        <f t="shared" si="1"/>
        <v>Proje ve Satış Yöneticisi</v>
      </c>
      <c r="I24" s="74" t="s">
        <v>95</v>
      </c>
      <c r="J24" s="75"/>
      <c r="K24" s="37" t="s">
        <v>60</v>
      </c>
      <c r="L24" s="7"/>
      <c r="M24" s="7"/>
      <c r="N24" s="7"/>
      <c r="O24" s="7"/>
    </row>
    <row r="25" spans="2:15" ht="42" customHeight="1" x14ac:dyDescent="0.25">
      <c r="B25" s="18">
        <v>4</v>
      </c>
      <c r="C25" s="6">
        <v>19</v>
      </c>
      <c r="D25" s="27" t="s">
        <v>42</v>
      </c>
      <c r="E25" s="24"/>
      <c r="F25" s="24"/>
      <c r="G25" s="25" t="s">
        <v>43</v>
      </c>
      <c r="H25" s="28" t="s">
        <v>44</v>
      </c>
      <c r="I25" s="74" t="s">
        <v>82</v>
      </c>
      <c r="J25" s="75"/>
      <c r="K25" s="37" t="s">
        <v>60</v>
      </c>
      <c r="L25" s="7"/>
      <c r="M25" s="7"/>
      <c r="N25" s="7"/>
      <c r="O25" s="7"/>
    </row>
    <row r="26" spans="2:15" ht="42" x14ac:dyDescent="0.25">
      <c r="B26" s="18">
        <v>4</v>
      </c>
      <c r="C26" s="6">
        <v>20</v>
      </c>
      <c r="D26" s="27" t="s">
        <v>45</v>
      </c>
      <c r="E26" s="24"/>
      <c r="F26" s="24"/>
      <c r="G26" s="29" t="s">
        <v>46</v>
      </c>
      <c r="H26" s="28" t="s">
        <v>44</v>
      </c>
      <c r="I26" s="74" t="s">
        <v>84</v>
      </c>
      <c r="J26" s="75"/>
      <c r="K26" s="37" t="s">
        <v>60</v>
      </c>
      <c r="L26" s="7"/>
      <c r="M26" s="7"/>
      <c r="N26" s="7"/>
      <c r="O26" s="7"/>
    </row>
    <row r="27" spans="2:15" ht="33.6" x14ac:dyDescent="0.25">
      <c r="B27" s="18">
        <v>4</v>
      </c>
      <c r="C27" s="6">
        <v>21</v>
      </c>
      <c r="D27" s="27" t="s">
        <v>48</v>
      </c>
      <c r="E27" s="24"/>
      <c r="F27" s="24"/>
      <c r="G27" s="29" t="s">
        <v>46</v>
      </c>
      <c r="H27" s="28" t="s">
        <v>47</v>
      </c>
      <c r="I27" s="74" t="s">
        <v>70</v>
      </c>
      <c r="J27" s="75"/>
      <c r="K27" s="37" t="s">
        <v>60</v>
      </c>
      <c r="L27" s="7"/>
      <c r="M27" s="7"/>
      <c r="N27" s="7"/>
      <c r="O27" s="7"/>
    </row>
    <row r="28" spans="2:15" ht="58.8" x14ac:dyDescent="0.25">
      <c r="B28" s="18">
        <v>4</v>
      </c>
      <c r="C28" s="6">
        <v>22</v>
      </c>
      <c r="D28" s="30" t="s">
        <v>49</v>
      </c>
      <c r="E28" s="24"/>
      <c r="F28" s="24"/>
      <c r="G28" s="29" t="s">
        <v>50</v>
      </c>
      <c r="H28" s="28" t="s">
        <v>51</v>
      </c>
      <c r="I28" s="74" t="s">
        <v>86</v>
      </c>
      <c r="J28" s="75"/>
      <c r="K28" s="37" t="s">
        <v>60</v>
      </c>
      <c r="L28" s="7"/>
      <c r="M28" s="7"/>
      <c r="N28" s="7"/>
      <c r="O28" s="7"/>
    </row>
    <row r="29" spans="2:15" ht="118.8" customHeight="1" x14ac:dyDescent="0.25">
      <c r="B29" s="18">
        <v>4</v>
      </c>
      <c r="C29" s="6">
        <v>23</v>
      </c>
      <c r="D29" s="30" t="s">
        <v>52</v>
      </c>
      <c r="E29" s="24"/>
      <c r="F29" s="24"/>
      <c r="G29" s="29" t="s">
        <v>50</v>
      </c>
      <c r="H29" s="31" t="s">
        <v>53</v>
      </c>
      <c r="I29" s="76" t="s">
        <v>71</v>
      </c>
      <c r="J29" s="77"/>
      <c r="K29" s="37" t="s">
        <v>60</v>
      </c>
      <c r="L29" s="7"/>
      <c r="M29" s="7"/>
      <c r="N29" s="7"/>
      <c r="O29" s="7"/>
    </row>
    <row r="30" spans="2:15" ht="42" customHeight="1" x14ac:dyDescent="0.25">
      <c r="B30" s="18">
        <v>4</v>
      </c>
      <c r="C30" s="6">
        <v>24</v>
      </c>
      <c r="D30" s="32" t="s">
        <v>54</v>
      </c>
      <c r="E30" s="24"/>
      <c r="F30" s="24"/>
      <c r="G30" s="29" t="s">
        <v>55</v>
      </c>
      <c r="H30" s="31" t="s">
        <v>53</v>
      </c>
      <c r="I30" s="74" t="s">
        <v>97</v>
      </c>
      <c r="J30" s="75"/>
      <c r="K30" s="37" t="s">
        <v>60</v>
      </c>
      <c r="L30" s="7"/>
      <c r="M30" s="7"/>
      <c r="N30" s="7"/>
      <c r="O30" s="7"/>
    </row>
    <row r="31" spans="2:15" ht="66" x14ac:dyDescent="0.25">
      <c r="B31" s="18">
        <v>4</v>
      </c>
      <c r="C31" s="6">
        <v>25</v>
      </c>
      <c r="D31" s="32" t="s">
        <v>56</v>
      </c>
      <c r="E31" s="24"/>
      <c r="F31" s="24"/>
      <c r="G31" s="33" t="s">
        <v>57</v>
      </c>
      <c r="H31" s="31" t="s">
        <v>58</v>
      </c>
      <c r="I31" s="78" t="s">
        <v>59</v>
      </c>
      <c r="J31" s="75"/>
      <c r="K31" s="37" t="s">
        <v>60</v>
      </c>
      <c r="L31" s="7"/>
      <c r="M31" s="7"/>
      <c r="N31" s="7"/>
      <c r="O31" s="7"/>
    </row>
    <row r="32" spans="2:15" s="20" customFormat="1" ht="39.6" x14ac:dyDescent="0.25">
      <c r="B32" s="18">
        <v>4</v>
      </c>
      <c r="C32" s="6">
        <v>26</v>
      </c>
      <c r="D32" s="30" t="s">
        <v>72</v>
      </c>
      <c r="E32" s="24"/>
      <c r="F32" s="55"/>
      <c r="G32" s="56"/>
      <c r="H32" s="57" t="e">
        <f>#REF!</f>
        <v>#REF!</v>
      </c>
      <c r="I32" s="78" t="s">
        <v>87</v>
      </c>
      <c r="J32" s="75"/>
      <c r="K32" s="37" t="s">
        <v>60</v>
      </c>
      <c r="L32" s="35"/>
      <c r="M32" s="35"/>
      <c r="N32" s="35"/>
      <c r="O32" s="35"/>
    </row>
    <row r="33" spans="2:15" s="20" customFormat="1" ht="41.25" customHeight="1" x14ac:dyDescent="0.25">
      <c r="B33" s="18">
        <v>4</v>
      </c>
      <c r="C33" s="6">
        <v>27</v>
      </c>
      <c r="D33" s="27" t="s">
        <v>73</v>
      </c>
      <c r="E33" s="24"/>
      <c r="F33" s="55"/>
      <c r="G33" s="56"/>
      <c r="H33" s="57" t="e">
        <f>#REF!</f>
        <v>#REF!</v>
      </c>
      <c r="I33" s="78" t="s">
        <v>87</v>
      </c>
      <c r="J33" s="75"/>
      <c r="K33" s="37" t="s">
        <v>60</v>
      </c>
      <c r="L33" s="35"/>
      <c r="M33" s="35"/>
      <c r="N33" s="35"/>
      <c r="O33" s="35"/>
    </row>
    <row r="34" spans="2:15" s="20" customFormat="1" ht="17.399999999999999" x14ac:dyDescent="0.25">
      <c r="B34" s="18">
        <v>4</v>
      </c>
      <c r="C34" s="6">
        <v>28</v>
      </c>
      <c r="D34" s="27" t="s">
        <v>74</v>
      </c>
      <c r="E34" s="24"/>
      <c r="F34" s="55"/>
      <c r="G34" s="56"/>
      <c r="H34" s="57" t="e">
        <f>#REF!</f>
        <v>#REF!</v>
      </c>
      <c r="I34" s="78" t="s">
        <v>88</v>
      </c>
      <c r="J34" s="75"/>
      <c r="K34" s="37" t="s">
        <v>60</v>
      </c>
      <c r="L34" s="35"/>
      <c r="M34" s="35"/>
      <c r="N34" s="35"/>
      <c r="O34" s="35"/>
    </row>
    <row r="35" spans="2:15" ht="26.4" customHeight="1" x14ac:dyDescent="0.25">
      <c r="B35" s="8">
        <v>5</v>
      </c>
      <c r="C35" s="6">
        <v>29</v>
      </c>
      <c r="D35" s="19" t="str">
        <f>I2&amp; " sürecinin "&amp; "sürecinin tüm işlemleri için oluşturulmuş ve kontrol edilen prosedü(ler) mevcut mudur?"</f>
        <v>T1 SATIŞ PROJELERİNİN YÖNETİMİ sürecinin sürecinin tüm işlemleri için oluşturulmuş ve kontrol edilen prosedü(ler) mevcut mudur?</v>
      </c>
      <c r="E35" s="19"/>
      <c r="F35" s="24"/>
      <c r="G35" s="25" t="s">
        <v>30</v>
      </c>
      <c r="H35" s="26" t="str">
        <f t="shared" ref="H35:H38" si="2">$I$4</f>
        <v>Proje ve Satış Yöneticisi</v>
      </c>
      <c r="I35" s="78" t="s">
        <v>82</v>
      </c>
      <c r="J35" s="75"/>
      <c r="K35" s="37" t="s">
        <v>60</v>
      </c>
      <c r="L35" s="7"/>
      <c r="M35" s="7"/>
      <c r="N35" s="7"/>
      <c r="O35" s="7"/>
    </row>
    <row r="36" spans="2:15" ht="26.4" customHeight="1" x14ac:dyDescent="0.25">
      <c r="B36" s="8">
        <v>6</v>
      </c>
      <c r="C36" s="6">
        <v>30</v>
      </c>
      <c r="D36" s="19" t="str">
        <f>I2&amp; " sürecinin "&amp; "performansı ve etkinliği değerlendirilmekte midir? DOKÜMANTE BİLGİ (9.1.1)"</f>
        <v>T1 SATIŞ PROJELERİNİN YÖNETİMİ sürecinin performansı ve etkinliği değerlendirilmekte midir? DOKÜMANTE BİLGİ (9.1.1)</v>
      </c>
      <c r="E36" s="19"/>
      <c r="F36" s="24"/>
      <c r="G36" s="25" t="s">
        <v>31</v>
      </c>
      <c r="H36" s="26" t="str">
        <f t="shared" si="2"/>
        <v>Proje ve Satış Yöneticisi</v>
      </c>
      <c r="I36" s="74" t="s">
        <v>96</v>
      </c>
      <c r="J36" s="75"/>
      <c r="K36" s="37" t="s">
        <v>60</v>
      </c>
      <c r="L36" s="7"/>
      <c r="M36" s="7"/>
      <c r="N36" s="7"/>
      <c r="O36" s="7"/>
    </row>
    <row r="37" spans="2:15" ht="26.4" customHeight="1" x14ac:dyDescent="0.25">
      <c r="B37" s="8">
        <v>6</v>
      </c>
      <c r="C37" s="6">
        <v>31</v>
      </c>
      <c r="D37" s="19" t="str">
        <f>I2&amp; " sürecinin "&amp; "sürecinin müşterlerinin memnuniyeti ölçülüyor mu?"</f>
        <v>T1 SATIŞ PROJELERİNİN YÖNETİMİ sürecinin sürecinin müşterlerinin memnuniyeti ölçülüyor mu?</v>
      </c>
      <c r="E37" s="19"/>
      <c r="F37" s="24"/>
      <c r="G37" s="25" t="s">
        <v>32</v>
      </c>
      <c r="H37" s="26" t="str">
        <f t="shared" si="2"/>
        <v>Proje ve Satış Yöneticisi</v>
      </c>
      <c r="I37" s="74" t="s">
        <v>85</v>
      </c>
      <c r="J37" s="75"/>
      <c r="K37" s="37" t="s">
        <v>60</v>
      </c>
      <c r="L37" s="7"/>
      <c r="M37" s="7"/>
      <c r="N37" s="7"/>
      <c r="O37" s="7"/>
    </row>
    <row r="38" spans="2:15" ht="26.4" x14ac:dyDescent="0.25">
      <c r="B38" s="8">
        <v>6</v>
      </c>
      <c r="C38" s="6">
        <v>32</v>
      </c>
      <c r="D38" s="19" t="str">
        <f>I2&amp; " sürecinin "&amp; "izlenmesi ve ölçülmesine ait sonuçlar, istatitiksel yöntemler ile analiz ediliyor ve değerlendiriliyor mu?"</f>
        <v>T1 SATIŞ PROJELERİNİN YÖNETİMİ sürecinin izlenmesi ve ölçülmesine ait sonuçlar, istatitiksel yöntemler ile analiz ediliyor ve değerlendiriliyor mu?</v>
      </c>
      <c r="E38" s="19"/>
      <c r="F38" s="24"/>
      <c r="G38" s="25" t="s">
        <v>33</v>
      </c>
      <c r="H38" s="26" t="str">
        <f t="shared" si="2"/>
        <v>Proje ve Satış Yöneticisi</v>
      </c>
      <c r="I38" s="74" t="s">
        <v>85</v>
      </c>
      <c r="J38" s="75"/>
      <c r="K38" s="37" t="s">
        <v>60</v>
      </c>
      <c r="L38" s="7"/>
      <c r="M38" s="7"/>
      <c r="N38" s="7"/>
      <c r="O38" s="7"/>
    </row>
    <row r="39" spans="2:15" x14ac:dyDescent="0.25">
      <c r="C39" s="20" t="s">
        <v>38</v>
      </c>
      <c r="K39" s="1">
        <v>32</v>
      </c>
    </row>
    <row r="40" spans="2:15" ht="15.6" x14ac:dyDescent="0.3">
      <c r="C40" s="38" t="s">
        <v>61</v>
      </c>
      <c r="D40" s="39"/>
      <c r="E40" s="39"/>
      <c r="F40" s="40"/>
      <c r="G40" s="39"/>
      <c r="H40" s="39"/>
      <c r="I40" s="39"/>
      <c r="J40" s="39"/>
      <c r="K40" s="39"/>
    </row>
    <row r="41" spans="2:15" ht="14.4" x14ac:dyDescent="0.3">
      <c r="C41" s="41" t="s">
        <v>62</v>
      </c>
      <c r="D41" s="39"/>
      <c r="E41" s="39"/>
      <c r="F41" s="40"/>
      <c r="G41" s="39"/>
      <c r="H41" s="39"/>
      <c r="I41" s="39"/>
      <c r="J41" s="39"/>
      <c r="K41" s="39"/>
    </row>
    <row r="42" spans="2:15" ht="14.4" x14ac:dyDescent="0.3">
      <c r="C42" s="62" t="s">
        <v>63</v>
      </c>
      <c r="D42" s="63"/>
      <c r="E42" s="64"/>
      <c r="F42" s="40"/>
      <c r="G42" s="39"/>
      <c r="H42" s="39"/>
      <c r="I42" s="39"/>
      <c r="J42" s="39"/>
      <c r="K42" s="39"/>
    </row>
    <row r="43" spans="2:15" ht="14.4" x14ac:dyDescent="0.3">
      <c r="C43" s="42"/>
      <c r="D43" s="43"/>
      <c r="E43" s="44"/>
      <c r="F43" s="40"/>
      <c r="G43" s="39"/>
      <c r="H43" s="39"/>
      <c r="I43" s="39"/>
      <c r="J43" s="39"/>
      <c r="K43" s="39"/>
    </row>
    <row r="44" spans="2:15" ht="14.4" x14ac:dyDescent="0.3">
      <c r="C44" s="45"/>
      <c r="D44" s="39"/>
      <c r="E44" s="39"/>
      <c r="F44" s="40"/>
      <c r="G44" s="39"/>
      <c r="H44" s="39"/>
      <c r="I44" s="39"/>
      <c r="J44" s="39"/>
      <c r="K44" s="39"/>
    </row>
    <row r="45" spans="2:15" ht="14.4" x14ac:dyDescent="0.3">
      <c r="C45" s="41" t="s">
        <v>64</v>
      </c>
      <c r="D45" s="39"/>
      <c r="E45" s="39"/>
      <c r="F45" s="40"/>
      <c r="G45" s="39"/>
      <c r="H45" s="39"/>
      <c r="I45" s="39"/>
      <c r="J45" s="39"/>
      <c r="K45" s="39"/>
    </row>
    <row r="46" spans="2:15" ht="14.4" x14ac:dyDescent="0.3">
      <c r="C46" s="65"/>
      <c r="D46" s="66"/>
      <c r="E46" s="67"/>
      <c r="F46" s="40"/>
      <c r="G46" s="39"/>
      <c r="H46" s="39"/>
      <c r="I46" s="39"/>
      <c r="J46" s="39"/>
      <c r="K46" s="39"/>
    </row>
    <row r="47" spans="2:15" ht="14.4" x14ac:dyDescent="0.3">
      <c r="C47" s="68"/>
      <c r="D47" s="69"/>
      <c r="E47" s="70"/>
      <c r="F47" s="40"/>
      <c r="G47" s="39"/>
      <c r="H47" s="39"/>
      <c r="I47" s="39"/>
      <c r="J47" s="39"/>
      <c r="K47" s="39"/>
    </row>
    <row r="48" spans="2:15" ht="14.4" x14ac:dyDescent="0.3">
      <c r="C48" s="45"/>
      <c r="D48" s="39"/>
      <c r="E48" s="39"/>
      <c r="F48" s="40"/>
      <c r="G48" s="39"/>
      <c r="H48" s="39"/>
      <c r="I48" s="39"/>
      <c r="J48" s="39"/>
      <c r="K48" s="39"/>
    </row>
    <row r="49" spans="3:11" ht="14.4" x14ac:dyDescent="0.3">
      <c r="C49" s="41" t="s">
        <v>65</v>
      </c>
      <c r="D49" s="39"/>
      <c r="E49" s="39"/>
      <c r="F49" s="40"/>
      <c r="G49" s="39"/>
      <c r="H49" s="39"/>
      <c r="I49" s="39"/>
      <c r="J49" s="39"/>
      <c r="K49" s="39"/>
    </row>
    <row r="50" spans="3:11" ht="14.4" x14ac:dyDescent="0.3">
      <c r="C50" s="71"/>
      <c r="D50" s="72"/>
      <c r="E50" s="46"/>
      <c r="F50" s="40"/>
      <c r="G50" s="39"/>
      <c r="H50" s="39"/>
      <c r="I50" s="39"/>
      <c r="J50" s="39"/>
      <c r="K50" s="39"/>
    </row>
    <row r="51" spans="3:11" ht="14.4" x14ac:dyDescent="0.3">
      <c r="C51" s="47"/>
      <c r="D51" s="43"/>
      <c r="E51" s="44"/>
      <c r="F51" s="40"/>
      <c r="G51" s="39"/>
      <c r="H51" s="39"/>
      <c r="I51" s="39"/>
      <c r="J51" s="39"/>
      <c r="K51" s="39"/>
    </row>
    <row r="52" spans="3:11" ht="15.6" x14ac:dyDescent="0.3">
      <c r="C52" s="38" t="s">
        <v>66</v>
      </c>
      <c r="D52" s="39"/>
      <c r="E52" s="39"/>
      <c r="F52" s="40"/>
      <c r="G52" s="39"/>
      <c r="H52" s="39"/>
      <c r="I52" s="39"/>
      <c r="J52" s="39"/>
      <c r="K52" s="39"/>
    </row>
    <row r="53" spans="3:11" ht="14.4" x14ac:dyDescent="0.3">
      <c r="C53" s="73">
        <v>100</v>
      </c>
      <c r="D53" s="73"/>
      <c r="E53" s="73"/>
      <c r="F53" s="40"/>
      <c r="G53" s="39"/>
      <c r="H53" s="39"/>
      <c r="I53" s="39"/>
      <c r="J53" s="39"/>
      <c r="K53" s="39"/>
    </row>
    <row r="54" spans="3:11" ht="14.4" x14ac:dyDescent="0.3">
      <c r="C54" s="48"/>
      <c r="D54" s="39"/>
      <c r="E54" s="39"/>
      <c r="F54" s="40"/>
      <c r="G54" s="49"/>
      <c r="H54" s="39"/>
      <c r="I54" s="39"/>
      <c r="J54" s="39"/>
      <c r="K54" s="39"/>
    </row>
    <row r="55" spans="3:11" ht="14.4" x14ac:dyDescent="0.3">
      <c r="C55" s="48"/>
      <c r="D55" s="39"/>
      <c r="E55" s="39"/>
      <c r="F55" s="40"/>
      <c r="G55" s="50" t="s">
        <v>67</v>
      </c>
      <c r="H55" s="51"/>
      <c r="I55" s="52" t="s">
        <v>68</v>
      </c>
      <c r="J55" s="53"/>
      <c r="K55" s="53"/>
    </row>
    <row r="56" spans="3:11" ht="14.4" x14ac:dyDescent="0.3">
      <c r="C56" s="48"/>
      <c r="D56" s="39"/>
      <c r="E56" s="39"/>
      <c r="F56" s="40"/>
      <c r="G56" s="52" t="s">
        <v>77</v>
      </c>
      <c r="H56" s="53"/>
      <c r="I56" s="53"/>
      <c r="J56" s="53"/>
      <c r="K56" s="53"/>
    </row>
  </sheetData>
  <mergeCells count="47">
    <mergeCell ref="I34:J34"/>
    <mergeCell ref="I17:J17"/>
    <mergeCell ref="I25:J25"/>
    <mergeCell ref="C4:D4"/>
    <mergeCell ref="I13:J13"/>
    <mergeCell ref="I14:J14"/>
    <mergeCell ref="I15:J15"/>
    <mergeCell ref="I16:J16"/>
    <mergeCell ref="I9:J9"/>
    <mergeCell ref="H5:H6"/>
    <mergeCell ref="C5:C6"/>
    <mergeCell ref="E5:E6"/>
    <mergeCell ref="I7:J7"/>
    <mergeCell ref="I8:J8"/>
    <mergeCell ref="I18:J18"/>
    <mergeCell ref="I20:J20"/>
    <mergeCell ref="I31:J31"/>
    <mergeCell ref="I22:J22"/>
    <mergeCell ref="I23:J23"/>
    <mergeCell ref="I24:J24"/>
    <mergeCell ref="I28:J28"/>
    <mergeCell ref="B5:B6"/>
    <mergeCell ref="I5:J6"/>
    <mergeCell ref="G2:H2"/>
    <mergeCell ref="F5:F6"/>
    <mergeCell ref="D5:D6"/>
    <mergeCell ref="K5:N5"/>
    <mergeCell ref="G5:G6"/>
    <mergeCell ref="K4:O4"/>
    <mergeCell ref="I11:J11"/>
    <mergeCell ref="I12:J12"/>
    <mergeCell ref="I19:J19"/>
    <mergeCell ref="C42:E42"/>
    <mergeCell ref="C46:E47"/>
    <mergeCell ref="C50:D50"/>
    <mergeCell ref="C53:E53"/>
    <mergeCell ref="I26:J26"/>
    <mergeCell ref="I27:J27"/>
    <mergeCell ref="I38:J38"/>
    <mergeCell ref="I36:J36"/>
    <mergeCell ref="I29:J29"/>
    <mergeCell ref="I37:J37"/>
    <mergeCell ref="I32:J32"/>
    <mergeCell ref="I33:J33"/>
    <mergeCell ref="I35:J35"/>
    <mergeCell ref="I30:J30"/>
    <mergeCell ref="I21:J21"/>
  </mergeCells>
  <conditionalFormatting sqref="F7:F38">
    <cfRule type="expression" dxfId="0" priority="1">
      <formula>F7="N/A"</formula>
    </cfRule>
  </conditionalFormatting>
  <dataValidations count="1">
    <dataValidation type="list" allowBlank="1" showInputMessage="1" showErrorMessage="1" sqref="F7:F38"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81" fitToHeight="0" orientation="landscape" r:id="rId1"/>
  <headerFooter>
    <oddFooter>&amp;R&amp;"Arial,Normal"Y03 F16(1)_07.04.2025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SORU LİSTESİ</vt:lpstr>
      <vt:lpstr>'SORU LİSTESİ'!Yazdırma_Alanı</vt:lpstr>
      <vt:lpstr>'SORU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2025-04-25T14:53:02Z</dcterms:modified>
</cp:coreProperties>
</file>