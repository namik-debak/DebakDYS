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filterPrivacy="1" showInkAnnotation="0" defaultThemeVersion="124226"/>
  <xr:revisionPtr revIDLastSave="0" documentId="13_ncr:1_{C73910DE-9E4C-4CFE-9C9E-22EABF7D59E9}" xr6:coauthVersionLast="47" xr6:coauthVersionMax="47" xr10:uidLastSave="{00000000-0000-0000-0000-000000000000}"/>
  <bookViews>
    <workbookView xWindow="-108" yWindow="-108" windowWidth="23256" windowHeight="12456" tabRatio="541" activeTab="1" xr2:uid="{00000000-000D-0000-FFFF-FFFF00000000}"/>
  </bookViews>
  <sheets>
    <sheet name="İK" sheetId="2" r:id="rId1"/>
    <sheet name="45001 İSG" sheetId="3" r:id="rId2"/>
    <sheet name="Sayfa1" sheetId="4" r:id="rId3"/>
  </sheets>
  <definedNames>
    <definedName name="_xlnm._FilterDatabase" localSheetId="1" hidden="1">'45001 İSG'!$A$4:$K$140</definedName>
    <definedName name="_xlnm.Print_Area" localSheetId="1">'45001 İSG'!$A$1:$K$180</definedName>
    <definedName name="_xlnm.Print_Area" localSheetId="0">İK!$C$2:$O$53</definedName>
    <definedName name="_xlnm.Print_Titles" localSheetId="1">'45001 İSG'!$1:$5</definedName>
    <definedName name="_xlnm.Print_Titles" localSheetId="0">İK!$2:$6</definedName>
  </definedNames>
  <calcPr calcId="191029"/>
</workbook>
</file>

<file path=xl/calcChain.xml><?xml version="1.0" encoding="utf-8"?>
<calcChain xmlns="http://schemas.openxmlformats.org/spreadsheetml/2006/main">
  <c r="H33" i="2" l="1"/>
  <c r="H32" i="2"/>
  <c r="H31" i="2"/>
  <c r="H30" i="2"/>
  <c r="D52" i="2" l="1"/>
  <c r="D51" i="2"/>
  <c r="D50" i="2"/>
  <c r="H52" i="2"/>
  <c r="H51" i="2"/>
  <c r="H50" i="2"/>
  <c r="H49" i="2"/>
  <c r="H24" i="2"/>
  <c r="D49" i="2"/>
  <c r="D24" i="2"/>
  <c r="D23" i="2"/>
  <c r="D22" i="2"/>
  <c r="D21" i="2"/>
  <c r="D20" i="2"/>
  <c r="H19" i="2"/>
  <c r="D19" i="2"/>
  <c r="D18" i="2"/>
  <c r="D17" i="2"/>
  <c r="D16" i="2"/>
  <c r="H23" i="2"/>
  <c r="H22" i="2"/>
  <c r="H21" i="2"/>
  <c r="H20" i="2"/>
  <c r="H18" i="2"/>
  <c r="H17" i="2"/>
  <c r="H15" i="2"/>
  <c r="H16" i="2"/>
  <c r="D15" i="2"/>
  <c r="H13" i="2"/>
  <c r="H14" i="2"/>
  <c r="D13" i="2"/>
  <c r="D14" i="2"/>
  <c r="H12" i="2"/>
  <c r="D12" i="2"/>
  <c r="H11" i="2"/>
  <c r="H10" i="2"/>
  <c r="D11" i="2"/>
  <c r="D10" i="2"/>
  <c r="H9" i="2"/>
  <c r="D9" i="2"/>
  <c r="H8" i="2"/>
  <c r="H7" i="2"/>
  <c r="D8" i="2"/>
  <c r="D7" i="2"/>
</calcChain>
</file>

<file path=xl/sharedStrings.xml><?xml version="1.0" encoding="utf-8"?>
<sst xmlns="http://schemas.openxmlformats.org/spreadsheetml/2006/main" count="1104" uniqueCount="536">
  <si>
    <t>DENETİM  RAPORU</t>
  </si>
  <si>
    <t>GÖZLEM / DELİL</t>
  </si>
  <si>
    <t>BULGU</t>
  </si>
  <si>
    <t>Evet</t>
  </si>
  <si>
    <t>Majör</t>
  </si>
  <si>
    <t>Minör</t>
  </si>
  <si>
    <t>İyil.</t>
  </si>
  <si>
    <t>Şart No</t>
  </si>
  <si>
    <t>NO</t>
  </si>
  <si>
    <t>DF</t>
  </si>
  <si>
    <t>No</t>
  </si>
  <si>
    <t>TİP</t>
  </si>
  <si>
    <t>4.4</t>
  </si>
  <si>
    <t>6.2</t>
  </si>
  <si>
    <t>6.1</t>
  </si>
  <si>
    <t>6.3</t>
  </si>
  <si>
    <t>9.2</t>
  </si>
  <si>
    <t>9.3</t>
  </si>
  <si>
    <t>10.2</t>
  </si>
  <si>
    <t>10.3</t>
  </si>
  <si>
    <t>7.4</t>
  </si>
  <si>
    <t>7.1.3</t>
  </si>
  <si>
    <t>7.1.4</t>
  </si>
  <si>
    <t>7.1.5</t>
  </si>
  <si>
    <t>5.2</t>
  </si>
  <si>
    <t>5.3</t>
  </si>
  <si>
    <t>7.1.2</t>
  </si>
  <si>
    <t>7.2</t>
  </si>
  <si>
    <t>7.3</t>
  </si>
  <si>
    <t>7.5</t>
  </si>
  <si>
    <t>9.1.1</t>
  </si>
  <si>
    <t>9.1.2</t>
  </si>
  <si>
    <t>9.1.3</t>
  </si>
  <si>
    <t xml:space="preserve">Kime </t>
  </si>
  <si>
    <t>Süreç Lideri:</t>
  </si>
  <si>
    <t xml:space="preserve">Süreç Adı: </t>
  </si>
  <si>
    <t>N/A</t>
  </si>
  <si>
    <t>N/A : Uygulanamaz (Non Applicable)</t>
  </si>
  <si>
    <t>SORU</t>
  </si>
  <si>
    <t>İşlemNo</t>
  </si>
  <si>
    <t>5.1.1.1</t>
  </si>
  <si>
    <t xml:space="preserve">Etik Kurallar &amp; İlgili Prosedür mevcut mu, çalışanlarla paylaşılmış mı? </t>
  </si>
  <si>
    <t>Görünürde herhangi bir şikayet mekanizması / öneri kutusu / tanımlamış bir ihbar sistemi mevcut mu?</t>
  </si>
  <si>
    <t>Yolsuzlukla Mücadele ve tüm Yasal Sorumluklarımızın kapsamları belirlenmiş mi, personel ile paylaşılmış mıdır?</t>
  </si>
  <si>
    <t xml:space="preserve">Personel Sor. 
</t>
  </si>
  <si>
    <t>İşletme organizasyonu mevcut mudur? Görev tanımları, yetki ve sorumlulukları belirlenmiş midir? Personel ile paylaşılmış mıdır? Kişiler yetki ve sorumluluklarının bilincine sahipler mi?</t>
  </si>
  <si>
    <t>5.3.1</t>
  </si>
  <si>
    <t>Organizasyonda yer alan Müşteri Temsilcisi ataması yapılmış mıdır?</t>
  </si>
  <si>
    <t>5.3.2</t>
  </si>
  <si>
    <t xml:space="preserve">Ürün şartları bazında tüm personelin görev ve sorumluklarının tanımlanmış mıdır? Personele yazılı olarak bildirilmekte midir? </t>
  </si>
  <si>
    <t>Tüm personel ait özlük dosyaları mevcut mudur, Personel listesi oluşturulmuş ve tüm yasal sorumluluklar işe giriş ve çıkışlarda tanımlanmış mıdır? Personel bilgilerine erişilebilmekte midir?</t>
  </si>
  <si>
    <t>5/6</t>
  </si>
  <si>
    <t xml:space="preserve">Kalite Sistem Yön. - Personel Sor. 
</t>
  </si>
  <si>
    <t>Personel planlaması yapılırken, hem proses hem de makine-ekipman bazlı çalışanların nitelikleri değerlendirilmekte midir?</t>
  </si>
  <si>
    <t>Personel Eğitim Prosedürü mevcut mudur? Eğitim ve değerlendirme yöntemleri belirlenmiş midir? Eğitim ihtiyaçları belirlenmiş midri? Eğitim kayıtları mevcut mudur?</t>
  </si>
  <si>
    <t>32/33/34</t>
  </si>
  <si>
    <t xml:space="preserve">Perosnel Sor.-Kalite Sistem Yön.-Genel Müdür
</t>
  </si>
  <si>
    <t xml:space="preserve">Eğitim proses ve işleyişinin gösteren prosedür mevcut mudur? </t>
  </si>
  <si>
    <t xml:space="preserve">Perosnel Sor.-Kalite Sistem Yön.
</t>
  </si>
  <si>
    <t>Ölçme ve Ürün/Proses Tasarım Personelinin yetkinliklileri tanımlanmış, eğitim ihtiyaçları belirlenmiş ve giderilmekte midir?</t>
  </si>
  <si>
    <t>7.2.1</t>
  </si>
  <si>
    <t>35/36/37</t>
  </si>
  <si>
    <t>Oryantasyon eğitimleri takip edilmekte midir? Değerlendirme yöntemleri belirlenmiş ve kayıtlarına ulaşılmakta mıdır</t>
  </si>
  <si>
    <t>Müşteri ve Yasal Şartları personel ile paylaşılmış mıdır? Eğitim ihtiyaçları belirlenmiş ve kayıtları mevcut mudur?</t>
  </si>
  <si>
    <t>7.2.2</t>
  </si>
  <si>
    <t>7.2.3</t>
  </si>
  <si>
    <t>İç Tetkikçi Yetkinliği belirlenmiş midir? Yeterlilikleri takip edilmekte midir? Yeterliliklere sahip olmayn personel için ihtiyaçlar belirlenmekte ve giderilmekte midir?</t>
  </si>
  <si>
    <t>İç Tetkikçi Eğitmeni yeterlilik kriterleri belirlenmiş midir? Yeterlilik kriterlerine sahip midir?</t>
  </si>
  <si>
    <t>7.2.4</t>
  </si>
  <si>
    <t>İkinci taraf denetimleri için dış denetçi yeterlilikleri belirlenmiş midir? Yeterlilik kriterlerine sahip midir?</t>
  </si>
  <si>
    <t>Personel farkındalık dokümanları mevcut mudur? Personel iş ve çalışma sahası, çalışma şartları vs ile ilgili tüm bilgilendirmeleri içerimekte midir? Personele teslim yöntemleri belirlenmiş midir?  Personel tüm hakları ile ilgili bilgiye sahip midir?</t>
  </si>
  <si>
    <t>7.3.1</t>
  </si>
  <si>
    <t xml:space="preserve"> Personel Kadrosunun Motivasyon ve Güçlendirilmesi Faaliyetleri için yöntemler belirlenmiş midir? 
</t>
  </si>
  <si>
    <t xml:space="preserve">Çalışanların öneri sistemi ile katılımları sağlanmakta mıdır? Değerlendirme yöntemleri belirlenmiş ve değerlendirmeleri yapılmakta mıdır? Değerlendirme sonuçlarının duyurulması için yöntemler belirlenmiş ve duyuruları yapılmakta mıdır?
</t>
  </si>
  <si>
    <t>Perosnel Sor</t>
  </si>
  <si>
    <t>7.3.2</t>
  </si>
  <si>
    <t xml:space="preserve">Ürün ve proses geliştirme yöntemleri belirlenmiş midir? </t>
  </si>
  <si>
    <t>Yürütme ve Devlet Desteklerinden Yararlanma Sistematiği tanımlanmış mıdır?</t>
  </si>
  <si>
    <t>Ürün ve Proses Tasarım Yetenekleri ifade edilerek becerileri tanımlanmış mıdır? Eğitim ihtiyaçları belirlenmiş ve giderilmekte midir?</t>
  </si>
  <si>
    <t>8.3.2.2</t>
  </si>
  <si>
    <t>Satış&amp;Proje Yön.</t>
  </si>
  <si>
    <t>Süreç Bazlı YGG toplantıları gerçekleştirilmekte ve analiz ve değerlendirmeler gerçekleştirilmektedir.</t>
  </si>
  <si>
    <t>ü</t>
  </si>
  <si>
    <t>G.Ünlü-F.Ünal</t>
  </si>
  <si>
    <t>Diğer İlgili Kişiler</t>
  </si>
  <si>
    <t>DENETİM BULGULARI:</t>
  </si>
  <si>
    <t xml:space="preserve">1) Uygunsuzluklar: </t>
  </si>
  <si>
    <t>Uygunsuzluk tespit edilmemiştir.</t>
  </si>
  <si>
    <t>2) Kuvvetli Yönler:</t>
  </si>
  <si>
    <t>3) İyileştirme Önerileri:</t>
  </si>
  <si>
    <t>DENETİM SONUCU:</t>
  </si>
  <si>
    <t>İsim Soyisim</t>
  </si>
  <si>
    <t xml:space="preserve">Pazarlama ve Satış Yönetici * Aynı zamanda Müşteri ve Kalite Yönetim Temsilcisi olarak organizasyon şemasında belirtilmiştir.( Dilara Altuntaş)
</t>
  </si>
  <si>
    <t>Personel özlük dosyaları mvecuttur. Giriş ve çıkışlarda yasal yükümlülükler yerine getirilmektedir.</t>
  </si>
  <si>
    <t xml:space="preserve">İmza ve tarih : </t>
  </si>
  <si>
    <t xml:space="preserve">Yeni Ürün Devreye Alma faaliyetlerinde ekip çalışmaları fonksiyonlararası bir anlayış ile mi gerçekleştirilmektedir ? </t>
  </si>
  <si>
    <t>8.1</t>
  </si>
  <si>
    <t xml:space="preserve">Müşteriden gelen yeni ürün talepleri için fizibilite çalışması metodları ve sorumluluklar tanımlanmış mı ve uygulanmakta mı? </t>
  </si>
  <si>
    <t>8.1.1</t>
  </si>
  <si>
    <t>Fizibilite çalışmalarında personel kaynak planlaması gerçekleştirilmiş ve sorumluluklar tanımlanıp, uygulanmaktadır.</t>
  </si>
  <si>
    <t>Ekip çalışmaları gerçekleştirilmktedir.</t>
  </si>
  <si>
    <t>D2 İNSAN KAYNAKLARI YÖNETİMİ</t>
  </si>
  <si>
    <t>Ana Referansı:D2 P01 İnsan Kaynakları Yönetimi Prosedürü-D2.1 P01 Eğitim Prosedürü</t>
  </si>
  <si>
    <t>D4.1 F02 SÜREÇ RİSK ANALİZİ D2 İnsan Kaynakları Yönetimi+ içersinde kaplumbağa diyagramında belirtilmiştir.</t>
  </si>
  <si>
    <t>uygun şartlar ve donanımlar sağlanmıştır</t>
  </si>
  <si>
    <t>İnsan Kaynakları Prosesi Hedefleri tablosu 2023 mevcuttur. Belirlnemiş olan maddler takip edilmektedir.</t>
  </si>
  <si>
    <t>D2 P02 DEBAK İŞ ETİĞİ  UYGULAMA PROSEDÜRÜ.Etik mail adresimiz vardır. Herhangibir şikayet düşmemiştir.</t>
  </si>
  <si>
    <t>D2 P02 DEBAK İŞ ETİĞİ  UYGULAMA PROSEDÜRÜ mevcut olup personele bilgi verilmiştir.</t>
  </si>
  <si>
    <t>D2 P03 Dilek, Öneri ve Şikayetlerin Yönetimi Prosedürü-Personel Geliştirme Önerileri Listesine bakınız. 5 adet bulunmaktadır.Personelin katılımı artırılabilir.</t>
  </si>
  <si>
    <t>D2.1 P01 Eğitim Prosedürü</t>
  </si>
  <si>
    <t>D8.6 F01 İç&amp;Dış Denetim Planı</t>
  </si>
  <si>
    <t>D2 P01 İnsan Kaynakları Yönetimi Prosedürü</t>
  </si>
  <si>
    <t>D2 F08 Personel Geliştirme Önerileri Takip Listesi</t>
  </si>
  <si>
    <t>Baş Denetçi(ler):</t>
  </si>
  <si>
    <t>Stajyer Denetçi(ler):</t>
  </si>
  <si>
    <t>Onur Yalçın</t>
  </si>
  <si>
    <t>Harun Reşit Didin</t>
  </si>
  <si>
    <t xml:space="preserve">Denetim Tarihi : </t>
  </si>
  <si>
    <r>
      <t xml:space="preserve">Denetim Adı    : </t>
    </r>
    <r>
      <rPr>
        <b/>
        <sz val="9"/>
        <rFont val="Arial"/>
        <family val="2"/>
        <charset val="162"/>
      </rPr>
      <t xml:space="preserve">ISO 45001:2018 İş Sağlığı ve Güvenliği Sistemi İç Denetimi </t>
    </r>
  </si>
  <si>
    <t>Şart</t>
  </si>
  <si>
    <t>Soru</t>
  </si>
  <si>
    <t>Standart Maddeleri Göre Sorular</t>
  </si>
  <si>
    <t>İncelenecek Dokümante Bilgiler</t>
  </si>
  <si>
    <t>İlgili Proses</t>
  </si>
  <si>
    <t>Gözlem / Delil</t>
  </si>
  <si>
    <t>Bulgu</t>
  </si>
  <si>
    <t>Düz.</t>
  </si>
  <si>
    <t>Kodu</t>
  </si>
  <si>
    <t>F. No</t>
  </si>
  <si>
    <t>4.1</t>
  </si>
  <si>
    <t>Kuruluş, amacı İSG yönetim sistemlerinin amaçlanan çıktılarına ulaşmak için yeteneğini etkileyen iç ve dış hususları tayin etmiş midir?</t>
  </si>
  <si>
    <t>Entegre YS El Kitabı, İç ve Dış Çevre Analizi, Bağlam Listesi</t>
  </si>
  <si>
    <t>D4.1 RİSK YÖNETİMİ+</t>
  </si>
  <si>
    <t xml:space="preserve">3 U2 Stratejik Planlama1 - Kuruluş ve Bağlamı Analizi-D3 U3 Stratejik Planlama2 - Paydaş Analizi - </t>
  </si>
  <si>
    <t>√</t>
  </si>
  <si>
    <t>4.2.a</t>
  </si>
  <si>
    <t>Kuruluş, çalışanlara ek olarak, İSG yönetim sistemleri ile ilgili tarafları belirlemiş mi?</t>
  </si>
  <si>
    <t>Entegre YS El Kitabı, İlgili Taraflar Analizi, Bağlam Listesi</t>
  </si>
  <si>
    <t>4.2.b</t>
  </si>
  <si>
    <t>Kuruluş, çalışanların ve diğer ilgili tarafların ilgili ihtiyaç ve beklentilerini (bir başka deyişle şartlar) belirlemiş mi?</t>
  </si>
  <si>
    <t>İlgili Taraflar Analizi, Bağlam Listesi</t>
  </si>
  <si>
    <t>4.2.c</t>
  </si>
  <si>
    <t>Kuruluş, bu ihtiyaç ve beklentilerden hangilerinin yasal veya diğer şartlardan olduğu ve olabileceğini belirlemiş mi?</t>
  </si>
  <si>
    <t>Bağlam Listesi</t>
  </si>
  <si>
    <t>4.3</t>
  </si>
  <si>
    <t>İSG Yönetim Sisteminin kapsamı belirlenmiş midir?</t>
  </si>
  <si>
    <t>Entegre YS El Kitabı</t>
  </si>
  <si>
    <t>Kuruluş, bu standardın şartlarına uygun olarak, prosesler ve bunların etkileşimi dahil, bir İSG yönetim sistemi kurmuş, uyguluyor, sürdürüyor ve sürekli iyileştiriyor mu?</t>
  </si>
  <si>
    <t>Entegre YS El Kitabı, Çapraz Tablo, Süreç Etkileşim Haritası</t>
  </si>
  <si>
    <t>D3.2 İSG Yönetimi</t>
  </si>
  <si>
    <t>5.1</t>
  </si>
  <si>
    <t>Üst yönetim gerekli liderlik ve taahhütleri gösteriyor mu?</t>
  </si>
  <si>
    <t>D4.2 STRATEJİ YÖNETİMİ+</t>
  </si>
  <si>
    <t>D4.2 T03 İSG Politikası nda taahhütler belirtilmiştir.</t>
  </si>
  <si>
    <t>5.1.m</t>
  </si>
  <si>
    <t>Üst yönetim İSG Kurulu'nun oluşturulmasını ve çalışmasını sağlıyor mu?</t>
  </si>
  <si>
    <t>İSG Kurulu Atama Yazısı, kurul toplantı tutanakları</t>
  </si>
  <si>
    <t>Üst yönetim, şartları (Kuruluşun amaçlarına uygunluk, yasal şartlara uyumun taahhüdü, sürekli iyileştirme, yaralanma ve hastalanmanın önlenmesi, İSG hedeflerine çerçeve sağlaması, çalışanların ve çalışan temsilcilerinin katılımı vb) karşılayan bir İSG politikasını oluşturmuş, uygulamış ve sürekliliğini sağlamış mıdır?</t>
  </si>
  <si>
    <t>Entegre YS Politikası</t>
  </si>
  <si>
    <t>D4.3 KURUMSAL İLETİŞİM YÖNETİMİ+</t>
  </si>
  <si>
    <t>İSG Politikası; dokümante edilmiş bilgi olarak erişime açık mı, kuruluş içerisinde iletilmiş mi?</t>
  </si>
  <si>
    <t>Entegre YS Politikası, doküman dağıtım yöntemi</t>
  </si>
  <si>
    <t>İSG Politikası; dokümante edilmiş bilgi olarak uygun şekilde ilgili tarafların erişimine açık mı?</t>
  </si>
  <si>
    <t xml:space="preserve">Üst yönetim, kuruluş içerisinde tüm seviyelerde, İSG yönetim sistemi içindeki ilgili görevler için yetki ve sorumlulukların belirlendiğini, iletildiğini ve dokümante edilmiş bilginin sürekliliğinin sağlandığını güvence altına alıyor mu? </t>
  </si>
  <si>
    <t>Organizasyon Şemaları (MYHR), görev tanımları</t>
  </si>
  <si>
    <t>İSG yönetim sistemi ile ilgili görevler ilgili personelin görev tanımlarında belirtilmiştir.D2 T07 Görev Tanımı - Çevre ve İSG Yönetim Temsilcisi+ - D2 T08 Görev Tanımı - İSG Kurulu+- D2 T30 Görev Tanımı - Meydancı &amp; Geçici Atık Depolama Sorumlusu</t>
  </si>
  <si>
    <t>Kuruluşun her seviyesindeki çalışanlar, üzerinde kontrol sahibi oldukları faaliyetler için İSG yönetim sistemi açısından sorumluluğu üstlerine alıyor mu?</t>
  </si>
  <si>
    <t>Üst yönetim, İSG yönetim sisteminin, bu standardın şartlarını karşılamasının güvence altına alınması ve İSG yönetim sistemi performansının üst yönetime rapor edilmesi  için yetki ve sorumlulukları belirlemiş midir?</t>
  </si>
  <si>
    <t>İSG profesyonellerinin sözleşmeleri, YT, Çalışan Temsilcisi vb görevlendirme yazıları</t>
  </si>
  <si>
    <t>Can Osg ile sözleşme mevcuttur. Yönetim temcsilcisi ve çalışan temsilcileri çalışan sayısına göre atama yoluyla belirlenmiş ve duyuları yapılmıştır. Görev ve sorumlulukları belirtilmiştir.D2 T07 Görev Tanımı - Çevre ve İSG Yönetim Temsilcisi+ - D2 T08 Görev Tanımı - İSG Kurulu+- D2 T30 Görev Tanımı - Meydancı &amp; Geçici Atık Depolama Sorumlusu</t>
  </si>
  <si>
    <t>5.4</t>
  </si>
  <si>
    <t>Kuruluş, İSG yönetim sisteminin geliştirilmesi, planlanması, uygulanması, performans değerlendirmesi ve iyileştirme faaliyetlerinde, danışma ve uygun olan tüm seviyelerde çalışanların ve bulundukları yerde varsa, çalışan temsilcilerinin katılımı için prosesleri oluşturmuş, uygulamış ve sürekliliğini sağlamış mıdır?</t>
  </si>
  <si>
    <t>Entegre YS El Kitabı, İletişim Talimatı, İç ve Dış Paydaş Anketleri, Ramak Kala ve Öneri formları, toplantı tutanakları vb</t>
  </si>
  <si>
    <t xml:space="preserve">Kuruluş, danışma ve katılım için gerekli uygulama yöntemini, zamanı, eğitimi ve kaynakları sağlıyor mu? </t>
  </si>
  <si>
    <t>Bkz. 15</t>
  </si>
  <si>
    <t>Ramak kala bildirim form sistemi ile öneri &amp; şikayet sistemi yürtülmektedir. Kaynaklar sağlanmaktadır.</t>
  </si>
  <si>
    <t>Kuruluş, İSG yönetim sistemi hakkındaki bilgi açık ve anlaşılır mıdır, bilgiye zamanında erişim sağlamış mıdır?</t>
  </si>
  <si>
    <t>D3.2 P01 İş Güvenliği Yönetimi Prosedürü</t>
  </si>
  <si>
    <t>Kuruluş, katılım için engelleri veya bariyerleri belirlemiş, kaldırmış ve kaldırılamayanları en aza indirmiş midir?</t>
  </si>
  <si>
    <t>katılım için engeller kaldırılmıştır. Herksein eşit olarak engelsi bir şekilde katılımı sağlanmaktadır. Öneri &amp; şikayet sistemi), ÇT ile iletşim, tarafsızlık sağlanmaktadır.</t>
  </si>
  <si>
    <t>Karar vermede yetkisi olmayan çalışanlara gerekli konularda danışılıyor mu?</t>
  </si>
  <si>
    <t>Her çalışanın katılımı sağlanmaktadır. Öneri &amp; şikayet &amp; Ramak kala sistemi herkese açıktır. İşletme içerisinde kutulara iletebilirler.D2 P03 Dilek, Öneri ve Şikayetlerin Yönetimi Prosedürü</t>
  </si>
  <si>
    <t>Karar vermede yetkisi olmayan çalışanların gerekli konularda katılımı sağlanıyor mu?</t>
  </si>
  <si>
    <t>6.1.1</t>
  </si>
  <si>
    <t>Kuruluş, İSG yönetim sistemini planlarken, Madde 4.1’de atıf yapılan hususları, Madde 4.2 ve Madde 4.3’te atıf yapılan şartları dikkate alarak ve 
İSG yönetim sisteminin amaçlanan çıktılarına ulaşabileceğine güvence vermek, istenmeyen etkileri önlemek veya azaltmak, sürekli iyileşmeyi sağlamak için ele alınması gereken risk ve fırsatları belirlemiş midir?</t>
  </si>
  <si>
    <t>SWOT Analizi</t>
  </si>
  <si>
    <t>D3 U4 Stratejik Planlama3 - SWOT</t>
  </si>
  <si>
    <t>Kuruluş, risk ve fırsatlarla ilgili dokümante edilmiş bilgilerin ve bunların planlı bir şekilde yürütüldüğünden emin olacak şekilde gerekli prosesleri ve risk ve fırsatların (madde 6.1.2 ve 6.1.4) belirlenmesi ve ele almak için ve faaliyetlerle ilgili dokümante edilmiş bilgilerin sürekliliğini sağlıyor mu?</t>
  </si>
  <si>
    <t>6.1.2.1.a</t>
  </si>
  <si>
    <t>Kuruluş, devam eden ve proaktif olarak tehlike tanımlaması için oluşturduğu, uyguladığı ve sürekliliğini sağladığı prosesler aşağıdakileri dikkate alıyor mu    ( fakat bunlarla sınırlı olmamalıdır):
a) Çalışmanın nasıl organize edildiği, sosyal faktörler (iş yükü, çalışma saatleri, mağduriyet, taciz ve zorbalık dahil), liderlik ve kuruluş içindeki kültür</t>
  </si>
  <si>
    <t>Risk Analizi ve Değerlendirme Tablosu</t>
  </si>
  <si>
    <t>6.1.2.1.b</t>
  </si>
  <si>
    <t>b) Rutin ve rutin olmayan faaliyetler ve durumlar</t>
  </si>
  <si>
    <t>Bkz.23</t>
  </si>
  <si>
    <t>6.1.2.1.c</t>
  </si>
  <si>
    <t>c) Kuruluş içinde veya dışında, acil durumlar da dahil olmak üzere, geçmiş ilgili olaylar ve bunların nedenleri</t>
  </si>
  <si>
    <t>6.1.2.1.d</t>
  </si>
  <si>
    <t>d) Potansiyel acil durumlar</t>
  </si>
  <si>
    <t>6.1.2.1.e</t>
  </si>
  <si>
    <t>e) Kişiler (Çalışanlar, yükleniciler, ziyaretçiler ve diğer kişiler dahil, işyerine ve faaliyetlere erişimi olanlar, işyerinin yakınında bulunan ve kuruluşun faaliyetlerinden etkilenebilecek olanlar, kuruluşun doğrudan kontrolü altında olmayan bir yerde çalışanlar)</t>
  </si>
  <si>
    <t>6.1.2.1.f</t>
  </si>
  <si>
    <t>Diğer konular:
. İlgili çalışanların ihtiyaçları ve yeteneklerine uyumlu olacak şekilde, çalışma alanlarının tasarımı, prosesler, tesisler, makineler / ekipmanlar, işetme prosedürleri ve iş organizasyonu
. Kuruluşun kontrolünde gerçekleşen işle ilgili faaliyetlerden kaynaklanan, işyeri yakınında oluşan durumlar,
. Kuruluş tarafından kontrol edilmeyen ve işyerinin yakınında oluşan, işyerinde insanların yaralanmasına ve sağlığın bozulmasına neden olabilecek durumlar</t>
  </si>
  <si>
    <t>6.1.2.1.g</t>
  </si>
  <si>
    <t>Kuruluşta, operasyonlarda, proseslerde, faaliyetlerde ve İSG yönetim sisteminde mevcut veya önerilen değişiklikleri dikkate alıyor mu?</t>
  </si>
  <si>
    <t>6.1.2.1.h</t>
  </si>
  <si>
    <t>Tehlikeler hakkındaki bilgi ve bilgi birikimine yönelik değişiklikleri dikkate alıyor mu?</t>
  </si>
  <si>
    <t>6.1.2.2.a</t>
  </si>
  <si>
    <t>Mevcut kontrollerin etkinliğini dikkate alarak, tanımlanmış tehlikelerden kaynaklanan İSG risklerini değerlendirmek için prosesler uyguluyor mu? 
İSG yönetim sisteminin oluşturulması, uygulanması, işletilmesi ve sürekliliğinin sağlanması ile ilgili diğer riskleri belirlemek ve değerlendirmek</t>
  </si>
  <si>
    <t>6.1.2.2.b</t>
  </si>
  <si>
    <t xml:space="preserve">İSG yönetim sisteminin oluşturulması, uygulanması, işletilmesi ve sürekliliğinin sağlanması ile ilgili diğer riskleri belirlemek ve değerlendirmek için prosesler uyguluyor mu? </t>
  </si>
  <si>
    <t>6.1.2.2</t>
  </si>
  <si>
    <t>Kuruluş, İSG risklerini değerlendirme yöntemlerini ve kriterlerini, tepkisel değil proaktif olduklarını ve sistematik bir şekilde kullanılmalarını güvence altına almak için kuruluşun kapsamına, doğasına ve zamanlamasına göre tanımlıyor mu?</t>
  </si>
  <si>
    <t>Yöntemler ve kriterler hakkında dokümante edilmiş bilginin sürekliliği sağlanıyor ve muhafaza ediliyor mu?</t>
  </si>
  <si>
    <t>6.1.2.3.a</t>
  </si>
  <si>
    <t>Kuruluşa, politikalarına, proseslerine veya faaliyetlerine yönelik planlı değişiklikleri dikkate alarak İSG performansını artırmaya yönelik İSG fırsatları ve işin, iş organizasyonunun ve çalışma ortamının çalışanlara uyarlanmasına yönelik fırsatlar ve tehlikeleri ortadan kaldırma ve İSG risklerini azaltmaya yönelik fırsatlar için prosesler uygulanıyor mu?</t>
  </si>
  <si>
    <t xml:space="preserve">İSG yönetim sisteminin iyileştirilmesi için diğer fırsatlar (İSG risk ve fırsatları, kuruluş için diğer risk ve fırsatlara neden olabilir) için prosesler uygulanıyor mu? </t>
  </si>
  <si>
    <t>6.1.3.a</t>
  </si>
  <si>
    <t>Kuruluş, tehlikelere, İSG risklerine ve İSG yönetim sistemine uygun güncel yasal şartları ve diğer şartları belirlemek ve erişmek için prosesler uyguluyor mu?</t>
  </si>
  <si>
    <t>Uygunluk Yükümlülükleri Takibi ve Değerlendirme Prosedürü, Uygunluk Yükümlülükleri Listesi, Uygunluk Yükümlülükleri Değerlendirme Formu</t>
  </si>
  <si>
    <t>D3.2 F05 İSG Yasal Şartlara Uyum Kontrol Tablosu+D8.1 P02 Yasal ve Diğer Şartların Takibi Prosedürü</t>
  </si>
  <si>
    <t>6.1.3.b</t>
  </si>
  <si>
    <t>Bu yasal şartların ve diğer şartların kuruluşa nasıl uygulanacağını ve hangi ihtiyaçların iletilmesi gerektiğini belirlemek için prosesler uygulanıyor mu?</t>
  </si>
  <si>
    <t>Bkz. 37</t>
  </si>
  <si>
    <t>6.1.3.c</t>
  </si>
  <si>
    <t>İSG yönetim sistemini oluştururken, uygularken, sürekliliğini sağlarken ve sürekli iyileştirirken, bu yasal ve diğer şartları dikkate almak için prosesler uygulanıyor mu?</t>
  </si>
  <si>
    <t>6.1.3</t>
  </si>
  <si>
    <t>Kuruluş, yasal ve diğer şartlar hakkında dokümante edilmiş bilginin sürekliliğini sağlıyor ve muhafaza ediyor ve herhangi bir değişikliği yansıtmak üzere güncellendiğini güvence altına alıyor mu?</t>
  </si>
  <si>
    <t>D8.1 DOKÜMANTE BİLGİNİN YÖNETİMİ+</t>
  </si>
  <si>
    <t>6.1.4.a</t>
  </si>
  <si>
    <t>Kuruluş aşağıdakileri planlıyor mu?
-Riskleri ve fırsatları ele alma (madde 6.1.2.2 ve 6.1.2.3),
-Yasal ve diğer şartları ele alma (madde 6.1.3),
-Acil duruma hazır olma ve müdahale (madde 8.2).</t>
  </si>
  <si>
    <t>SWOT Analizi,  Risk Analizi ve Değerlendirme Tablosu, Uygunluk Yükümlülükleri Değerlendirme Formu, Acil Durum Planları</t>
  </si>
  <si>
    <t>Acil Durum planları ve Acil durum Ekipleri belirlenmiş olduğu gözlendi. D3 U4 Stratejik Planlama3 - SWOT</t>
  </si>
  <si>
    <t>6.1.4.b</t>
  </si>
  <si>
    <t xml:space="preserve">Faaliyetleri İSG yönetim sistemi proseslerine veya diğer iş proseslerine entegre etme ve uygulama ve bu faaliyetlerin etkinliğinin değerlendirilmesini planlıyor mu? </t>
  </si>
  <si>
    <t>Bkz. 41</t>
  </si>
  <si>
    <t>Acil Durum planları ve Acil durum Ekipleri belirlenmiş olduğu gözlendi.D3 U4 Stratejik Planlama3 - SWOT</t>
  </si>
  <si>
    <t>6.1.4</t>
  </si>
  <si>
    <t xml:space="preserve">Kuruluş; faaliyet gerçekleştirmeyi planlarken kontrol hiyerarşisi (madde 8.1.2) ve İSG yönetim sisteminin çıktılarını dikkate alıyor mu? </t>
  </si>
  <si>
    <t xml:space="preserve">Kuruluş, faaliyetlerini planlarken, en iyi uygulamalar ve teknolojik seçenekleri ile finansal, işletme ve işle ilgili şartları değerlendiriyor mu? </t>
  </si>
  <si>
    <t>6.2.1</t>
  </si>
  <si>
    <t>Kuruluş, İSG yönetim sisteminin ve İSG performansının sürekliliğini sağlamak ve sürekli iyileştirmek için ilgili fonksiyonlarda ve seviyelerde, İSG hedeflerini oluşturmuş mudur?</t>
  </si>
  <si>
    <t>Yönetimin Sorumluluğu Prosedürü, 2020 Yılı Süreç ve Bölüm Hedefleri Eylem Planları</t>
  </si>
  <si>
    <t>D4.4 PER. DEĞ. ve İYİLEŞTİRME YÖN+</t>
  </si>
  <si>
    <t>İSG hedefleri, İSG  politikası ile uyumlu mu, ölçülebilir mi veya performans değerlendirmesi yapmak için yeterli midir?</t>
  </si>
  <si>
    <t>Bkz. 45</t>
  </si>
  <si>
    <t>İSG hedefleri, uygulanabilir şartları, risklerin ve fırsatların değerlendirme sonuçlarını (madde 6.1.2.2 ve 6.1.2.3), çalışanlar (madde 5.4) ve bulundukları yerde varsa, çalışan temsilcileri ile danışmanın sonuçları izleniyor, iletiyor ve uygun şekilde güncelleniyor mu?</t>
  </si>
  <si>
    <t>Hedeflerin iletim yöntemi</t>
  </si>
  <si>
    <t>6.2.2</t>
  </si>
  <si>
    <t>İSG hedeflerine nasıl erişileceğini planlarken, kuruluş, ne yapılacağını, hangi kaynakların gerekeceğini, kimin sorumlu olacağını, ne zaman tamamlanacağını, izleme için göstergeler dahil olmak üzere sonuçların nasıl değerlendirileceğini, İSG hedeflerine erişme faaliyetlerinin, iş proseslerine nasıl entegre edileceğini belirliyor mu?</t>
  </si>
  <si>
    <t>Kuruluş, İSG hedefleri ve erişme planları ile ilgili dokümante edilmiş bilgilerin sürekliliğini sağlıyor ve muhafaza ediyor mu?</t>
  </si>
  <si>
    <t>7.1</t>
  </si>
  <si>
    <t>Kuruluş, İSG yönetim sisteminin oluşturulması, uygulanması, sürdürülmesi ve sürekli iyileştirilmesi için ihtiyaç duyulan kaynakları belirliyor ve sağlıyor mu?</t>
  </si>
  <si>
    <t>Entegre YS bütçeleri</t>
  </si>
  <si>
    <t>7.2.a</t>
  </si>
  <si>
    <t xml:space="preserve">Kuruluş, İSG performansını etkileyen veya etkileyebilecek çalışanların gerekli yetkinliğini belirliyor mu? </t>
  </si>
  <si>
    <t>Görev tanımları-yetkinlik tablosu, Çalışan Yeterliliklerinin Belirlenmesi ve Ölçümlenmesi Talimatı, Çalışan Yeterliliklerinin Değerlendirilmesi Formu</t>
  </si>
  <si>
    <t>D2.1 Eğitim Yönetimi</t>
  </si>
  <si>
    <t>7.2.b</t>
  </si>
  <si>
    <t>Kuruluş, uygun öğrenim, eğitim ve tecrübelerine dayanarak çalışanların yetkinliklerini (tehlikeleri tanımlama becerisi dahil) güvence altına alıyor mu?</t>
  </si>
  <si>
    <t>Bkz. 51</t>
  </si>
  <si>
    <t>7.2.c</t>
  </si>
  <si>
    <t xml:space="preserve">Kuruluş, uygulanabilir olduğunda, gerekli yetkinliği elde etmek ve sürekliliğini sağlamak için faaliyetleri gerçekleştiriyor ve gerçekleştirilen faaliyetlerin etkinliğini değerlendiriliyor mu? </t>
  </si>
  <si>
    <t>Eğitim Planları ve diğer İK uygulamaları</t>
  </si>
  <si>
    <t>7.2.d</t>
  </si>
  <si>
    <t>Kuruluş, yetkinliğin kanıtı olarak uygun dokümante edilmiş bilgiyi muhafaza ediyor mu?</t>
  </si>
  <si>
    <t>Eğitim kayıtları, sınavlar, etkinlik değerlendirmeleri</t>
  </si>
  <si>
    <t>Çalışanların, İSG politikası ve İSG hedefleri, iyileştirilmiş İSG performansının faydaları dahil olmak üzere, kendilerinin İSG yönetim sisteminin etkinliğine katkısı, İSG yönetim sisteminin şartlarının yerine getirilmemesinin etkileri ve potansiyel sonuçları, olaylar ve bunlarla ilgili araştırmaların çıktıları, tehlike, İSG riskleri ve bunlarla ilgili belirlenen faaliyetler, yaşamlarına veya sağlıklarına yönelik mutlak ve ciddi bir tehlike oluşturduğunu düşündükleri iş durumlarından kendilerini uzaklaştırma becerisinin yanı sıra, bunlardan kaynaklanan uygunsuz sonuçlardan kendilerini korumaya yönelik düzenlemeler (Çalışmaktan Kaçınma Hakkı) hakkında farkında olmaları sağlanıyor mu?</t>
  </si>
  <si>
    <t>Çalışanlarla yapılacak görüşmelerde incelenecek</t>
  </si>
  <si>
    <t>D2 P02 DEBAK İŞ ETİĞİ  UYGULAMA PROSEDÜRÜ</t>
  </si>
  <si>
    <t>7.4.1</t>
  </si>
  <si>
    <t xml:space="preserve">Kuruluş; aşağıdaki hususları belirleme dahil, iç ve dış iletişim için gerekli olan proses/prosesleri uyguluyor mu:
a) Neyle ilgili iletişim kuracağını,
b) Ne zaman iletişim kuracağını,
c) Kiminle iletişim kuracağını (Dahili olarak kuruluşun farklı seviyeleri ve fonksiyonları arasında, İşyerindeki yükleniciler ve ziyaretçiler arasında, diğer ilgili taraflar arasında)
d) Nasıl iletişim kuracağını.
</t>
  </si>
  <si>
    <t>İletişim Prosedürü, İletişim Prosedürü, iletişim kayıtları (şikayetler, bildirimler, talepler vb)</t>
  </si>
  <si>
    <t>D4.3 T01 İletişim Talimatı</t>
  </si>
  <si>
    <t>İletişim ihtiyaçlarını değerlendirirken, kuruluş çeşitlilik boyutunu (cinsiyet, dil, kültür, okuma yazma, engellilik) dikkate alıyor mu?</t>
  </si>
  <si>
    <t>Bkz. 56</t>
  </si>
  <si>
    <t>Kuruluş kendi iletişim proseslerini oluştururken, dış ilgili tarafların görüşlerini değerlendirdiğini güvence altına alıyor mu?</t>
  </si>
  <si>
    <t>Kuruluş, iletişim proseslerini oluştururken, yasal ve diğer şartları dikkate alıyor ve iletilecek İSG bilgisinin, yönetim sisteminde oluşan bilgi ile uyumlu ve güvenilir olduğunu güvence altına alıyor mu?</t>
  </si>
  <si>
    <t>D3.2 F05 İSG Yasal Şartlara Uyum Kontrol Tablosu+D8.1 F02 Dış Kaynaklı doküman Listesi</t>
  </si>
  <si>
    <t>Kuruluş, İSG yönetim sistemi ile ilgili iletişimlere cevap veriyor mu?</t>
  </si>
  <si>
    <t>D4.3 T01 İletişim Talimatı- İSG yönetim sistemi ile ilgili durumlarda iletişime geçilmekte ve cevap verilmekte. Ör. İş kazaları bildirimler.</t>
  </si>
  <si>
    <t>Kuruluş, iletişimin kanıtı olarak dokümante edilmiş bilgiyi uygun şekilde saklıyor mu?</t>
  </si>
  <si>
    <t>D8.1 Dokümante Bilginin Yönetimi</t>
  </si>
  <si>
    <t>D8.1 F03  KayıtLar Listesi</t>
  </si>
  <si>
    <t>7.4.2</t>
  </si>
  <si>
    <t>Kuruluş, İSG  yönetim sistemi ile ilgili değişiklikler dahil, İSG yönetim sistemi ile ilgili bilgileri, kuruluşun farklı seviyelerinde ve fonksiyonlarında uygun şekilde paylaşıyor mu?</t>
  </si>
  <si>
    <t>İSG Duyuru panosu mevcut olup, ilgili bilgiler paylaşılmıştır.</t>
  </si>
  <si>
    <t>Kuruluş, iletişim proses/proseslerinin, çalışanların sürekli iyileştirmeye katkı sağlamasına yardımcı olmasını güvence altına alınıyor mu?</t>
  </si>
  <si>
    <t>D4.4 P01 Performans Değerlendirme ve İyileştirme Yönetimi Prosedürü</t>
  </si>
  <si>
    <t>7.4.3</t>
  </si>
  <si>
    <t>Kuruluş; İSG yönetim sistemi ile ilgili bilgileri, yasal ve diğer şartları dikkate alarak, oluşturulmuş iletişim proseslerinde yer aldığı gibi dışarı ile paylaşıyor mu?</t>
  </si>
  <si>
    <t>7.5.1</t>
  </si>
  <si>
    <t>Kuruluşun İSG yönetim sistemi, bu standardın gerektirdiği dokümante edilmiş bilgileri ve kuruluş tarafından, İSG yönetim sisteminin etkinliğini arttırmak için belirlenen dokümante edilmiş bilgileri içeiryor mu?</t>
  </si>
  <si>
    <t>Dokümante Bilginin Yönetimi Prosedürü,  Kapsam ve Referanslar, Politika, Amaç ve Hedefler vb</t>
  </si>
  <si>
    <t>7.5.2</t>
  </si>
  <si>
    <t>Kuruluş; dokümante edilmiş bilgileri oluştururken ve güncellerken aşağıdakileri uygun şekilde güvence altına alıyor mu:
-Tanımlama ve açıklama (örneğin, başlık, tarih, yazar veya referans numarası),
-Format (örneğin, dil, yazılım sürümü, grafikler) ve ortam (örneğin, kağıt, elektronik),
-Uygunluk ve doğruluk için gözden geçirme ve onay</t>
  </si>
  <si>
    <t>Dokümante Bilginin Yönetimi Prosedürü,  QDMS yazılımı ve kullanıcıların kontrolü</t>
  </si>
  <si>
    <t>D8.1 P01 Döküman Yönetimi Prosedürü-D8.1 P02 Yasal ve Diğer Şartların Takibi Prosedürü-D8.1 F01 Ana Doküman Listesi</t>
  </si>
  <si>
    <t>7.5.3</t>
  </si>
  <si>
    <t>İSG yönetim sistemi ve bu standart tarafından istenen dokümante edilmiş bilgi, aşağıdakileri güvence altına almak için kontrol ediliyor mu:
-Nerede ve ne zaman istenirse, kullanım için varlığı ve uygunluğu,
-Uygun şekilde korunduğu (örneğin, gizliliğin kaybolmasından, uygun olmayan kullanım veya bütünlüğün bozulması).</t>
  </si>
  <si>
    <t>Bkz. 67</t>
  </si>
  <si>
    <t>Dokümante edilmiş bilgi için, kuruluş aşağıdaki faaliyetlerden uygulanabilir olanları belirliyor mu:
-Dağıtım, erişim, tekrar erişim ve kullanım,
-Okunabilirliğinin korunması dahil, depolama ve koruma,
-Değişikliklerin kontrolü (örneğin, sürüm kontrolü),
-Muhafaza ve elden çıkarma</t>
  </si>
  <si>
    <t>Kuruluş tarafından İSG yönetim sisteminin planlanması ve işletimi için gerekli olduğu belirlenen dış kaynaklı dokümante edilmiş bilgi, uygun şekilde tanımlanıyor ve kontrol ediliyor mu?</t>
  </si>
  <si>
    <t>İlgili dokümante edilmiş bilgiye erişim, çalışanların erişimini ve bulundukları yerde varsa çalışan temsilcilerinin erişimini içeriyor mu?</t>
  </si>
  <si>
    <t xml:space="preserve">Kuruluş, İSG yönetim sistemi şartlarını karşılamak için ihtiyaç duyulan prosesleri aşağıdakiler ile planlıyor, uyguluyor, kontrol ediyor ve sürekliliğini sağlıyor ve Madde 6’da belirlenen faaliyetleri uyguluyor mu :
-Prosesler için kriterler oluşturmak
-Kriterlere uygun şekilde, proseslerin kontrolünü uygulamak
-Proseslerin planlanan şekilde yürütüldüğünden emin olmak için gerekli ölçüde, dokümante edilmiş bilginin sürekliliğini sağlamak ve muhafaza etmek
-İşi çalışanlara uyarlamak </t>
  </si>
  <si>
    <t>İş Sağlığı ve Güvenliği Operasyonel Kontrol Prosedürü, Çevre&amp;İSG ve Diğer Parametreleri İzleme ve Ölçme Listesİ, talimatlar, sahadaki uygulamaları vb</t>
  </si>
  <si>
    <t>D3.2 P01 İş Güvenliği Yönetimi Prosedürü-D8.1 P01 Döküman Yönetimi Prosedürü-D8.1 P02 Yasal ve Diğer Şartların Takibi Prosedürü-D8.1 F01 Ana Doküman Listesi-D4.4 F06 Tüm Süreçler Performans İzleme Tablosu 2023-İSG saha ve genel işletme saha kontrolleri ile denetlenmektedir. Ekipman ve önlemlerin alınıp alınmadığı denetlenmektedir</t>
  </si>
  <si>
    <t>Çok işverenli işyerlerinde, kuruluş İSG yönetim sisteminin ilgili bölümlerini diğer kuruluşlarla koordine ediyor mu?</t>
  </si>
  <si>
    <t>Bkz. 71</t>
  </si>
  <si>
    <t>D3.2 P01 İş Güvenliği Yönetimi Prosedürü-D8.1 P01 Döküman Yönetimi Prosedürü-D8.1 P02 Yasal ve Diğer Şartların Takibi Prosedürü-D8.1 F01 Ana Doküman Listesi-D4.4 F06 Tüm Süreçler Performans İzleme Tablosu 2023</t>
  </si>
  <si>
    <t>8.1.2</t>
  </si>
  <si>
    <t>Kuruluş, kontrol hiyerarşisini kullanarak tehlikeleri ortadan kaldırmak ve İSG risklerini azaltmak için prosesler uyguluyor mu? (İSG risk değerlendirmesinde belirlenen önlemler, hiyerarşiye uygun mu)</t>
  </si>
  <si>
    <t>Tehlike Analizi ve Risk Değerlendirme Prosedürü, Risk Analizi ve Değerlendirme Tablosu</t>
  </si>
  <si>
    <t xml:space="preserve">Risk analizinde hiyerarşiye uyulduğu gözlendi. Önlemlerde öncelikli olarak mühendislik önlemleri alınmıştır. </t>
  </si>
  <si>
    <t>8.1.3</t>
  </si>
  <si>
    <t>Kuruluş, aşağıdakiler dahil olmak üzere, İSG performansını etkileyen planlı, geçici ve kalıcı değişiklikleri uygulamak ve kontrol etmek için prosesler oluşturuyor mu:
-Yeni ürünler, hizmetler ve prosesler veya var olan ürün, hizmet ve proseslerde değişiklikler (İşyerinin bulunduğu yer ve çevresi, iş organizasyonu, çalışma koşulları, donanım, işgücü)
-Yasal şartlar ve diğer şartlarda değişiklikler
-Tehlike ve İSG riskleri hakkında bilgi birikimi veya bilgide değişiklikler
-Bilgi ve teknolojideki gelişmeler</t>
  </si>
  <si>
    <t>Değişikliklerin Yönetimi Prosedürü, Değişikliklerin Yönetimi Tablosu</t>
  </si>
  <si>
    <t>D8.5 F03 Çevre &amp;İSG Değişikliklerinin Yönetimi Tablosu-D8.5 P01 Değişikliklerin Yönetimi Prosedürü</t>
  </si>
  <si>
    <t>Kuruluş istenmeyen değişikliklerin sonuçlarını gözden geçiriyor, gerektiğinde olumsuz etkileri azaltmak için faaliyet gerçekleştiriliyor mu?</t>
  </si>
  <si>
    <t>8.1.4.1</t>
  </si>
  <si>
    <t>Kuruluş, İSG yönetim sistemine uygunluğunu güvence altına almak için ürün ve hizmet satın almayı kontrol etmek için prosesler uygulanıyor mu?</t>
  </si>
  <si>
    <t>Tedarikçi Seçme Değerlendirme Prosedürü, Satın Alma Prosedürü</t>
  </si>
  <si>
    <t>D5.4 Satınalma ve Depo Yönetimi</t>
  </si>
  <si>
    <t>D5 P01 Satınalma Prosedürü-D5 P02 Tedarikçi Değerlendirme &amp; Geliştirme Prosedürü</t>
  </si>
  <si>
    <t>8.1.4.2</t>
  </si>
  <si>
    <t>Kuruluş, aşağıdakilerden kaynaklanan tehlikeleri tanımlamak ve İSG risklerini değerlendirmek ve kontrol etmek için yüklenicileri ile satın alma prosesini koordine ediyor mu:
a)Kuruluşu etkileyen yüklenicilerin faaliyet ve operasyonları
b) Yüklenici çalışanlarını etkileyen kuruluşun faaliyet ve operasyonları
c) İşyerinde ilgili tarafları etkileyen yüklenicilerin faaliyet ve operasyonları</t>
  </si>
  <si>
    <t>Tedarikçi Seçme Değerlendirme Prosedürü, İSG Ürün ve Hizmet Kriterleri Tablosu, Yüklenici İSG Sözleşmeleri</t>
  </si>
  <si>
    <t>Kuruluş, İSG yönetim sisteminin şartlarının yükleniciler ve çalışanları tarafından karşılanmasını güvence altına alınıyor mu?</t>
  </si>
  <si>
    <t>Bkz.77</t>
  </si>
  <si>
    <t>D5 SATINALMA YÖNETİMİ+</t>
  </si>
  <si>
    <t>Kuruluşun satın alma prosesi, yüklenici seçiminde İSG kriterlerini tanımlıyor ve uyguluyor mu?</t>
  </si>
  <si>
    <t>8.1.4.3</t>
  </si>
  <si>
    <t>Kuruluş, dışarıya yaptırdığı fonksiyonlar ve proseslerin kontrol edildiğini güvence altına alıyor mu?</t>
  </si>
  <si>
    <t>Kuruluş dışarıya yaptırma düzenlemelerinin, yasal ve diğer şartlar ve İSG yönetim sisteminin amaçlanan çıktılarına ulaşma ile tutarlı olduğunu güvence altına alıyor mu?</t>
  </si>
  <si>
    <t>Bu fonksiyonlara ve proseslere uygulanacak kontrolün tipi ve derecesi İSG yönetim sistemi içerisinde tanımlanıyor mu?</t>
  </si>
  <si>
    <t>8.2</t>
  </si>
  <si>
    <t>Kuruluş, muhtemel acil durumlara hazırlık ve bunlara nasıl müdahale edeceği ile ilgili gerekli prosesleri uyguluyor mu?</t>
  </si>
  <si>
    <t>Acil Durum Planı, Tatbikat Raporları, Ekip Listeleri, Haberleşme Planları, Eğitim Kayıtları, Acil Durum Raporları vb</t>
  </si>
  <si>
    <t>Acil Durum Planı mevcut. Çevre ve İsG tabikatları gerçekeleştirilmiştir. 15.09.2022 tarihinde uzuv yaralanması tatbikatı Zafer Uysal ve Hüseyin Şahin in katılı ile gerçekleştirilmiştir.</t>
  </si>
  <si>
    <t>8.2.a</t>
  </si>
  <si>
    <t>İlkyardım sağlanması dahil müdahale planı oluşturuluyor mu?</t>
  </si>
  <si>
    <t>Bkz. 83</t>
  </si>
  <si>
    <t>İlkyardım acil durum planı mevcuttur.</t>
  </si>
  <si>
    <t>8.2.b</t>
  </si>
  <si>
    <t>Planlanan müdahale için eğitim sağlanıyor mu?</t>
  </si>
  <si>
    <t>İlkyardımcılar için eğitim kayıtları ve sertifikalar mevcuttur. 15 ilkyardım sertifikasına sahip personel bulunmaktadır.</t>
  </si>
  <si>
    <t>8.2.c</t>
  </si>
  <si>
    <t>Planlanan müdahale yeteneğinin test ediliyor ve tatbik ediliyor mu?</t>
  </si>
  <si>
    <t>8.2.d</t>
  </si>
  <si>
    <t>Test edildikten sonra ve özellikle acil durumların ortaya çıkmasından sonrası da dahil olmak üzere, performansın değerlendirilmesi ve planlanan müdahalenin gerektiğinde revize edilmesi sağlanıyor mu?</t>
  </si>
  <si>
    <t>8.2.e</t>
  </si>
  <si>
    <t xml:space="preserve">Tüm çalışanlara acil durum görevleri ve sorumlulukları ile ilgili bilgiler iletiliyor ve sağlanıyor mu? </t>
  </si>
  <si>
    <t>8.2.f</t>
  </si>
  <si>
    <t>Yüklenicilere, ziyaretçilere, acil müdahale hizmetlerine, resmi makamlara ve uygun olduğunda, yerel halka ilgili bilgiler iletiyor mu?</t>
  </si>
  <si>
    <t>8.2.g</t>
  </si>
  <si>
    <t>İlgili tarafların ihtiyaçları ve yetenekleri dikkate alınıyor ve planlanan müdahalenin geliştirilmesinde, uygun şekilde, katılımları sağlanıyor mu?</t>
  </si>
  <si>
    <t>Kuruluş, prosesler ve potansiyel acil durumlara müdahale etme planları ile ilgili dokümante edilmiş bilgilerin sürekliliğini sağlıyor ve muhafaza ediyor mu?</t>
  </si>
  <si>
    <t>Kuruluş; izleme, ölçme, analiz ve performans değerlendirme prosesleri uygulanıyor mu?</t>
  </si>
  <si>
    <t>Yönetimin Sorumluluğu Prosedürü, 2020 Yılı Süreç ve Bölüm Hedefleri Eylem Planları, Çevre&amp;İSG ve Diğer Parametreleri İzleme ve Ölçme Listesi, kalibrasyon kayıtları</t>
  </si>
  <si>
    <t>9.1.1.a</t>
  </si>
  <si>
    <t>Kuruluş, yasal ve diğer şartların ne ölçüde yerine getirildiğini, tanımlanan tehlikeler, riskler ve fırsatlarla ilgili faaliyet ve operasyonlarını, İSG hedeflerine erişme derecesi ve operasyonel ve diğer kontrollerin etkinliği nasıl izleyeceğini belirliyor mu?</t>
  </si>
  <si>
    <t>Bkz. 92</t>
  </si>
  <si>
    <t>9.1.1.b</t>
  </si>
  <si>
    <t>Uygulanabildiğinde, geçerli sonuçları güvence altına almak için kullanılan izleme, ölçme, analiz ve performans değerlendirme yöntemlerini belirliyor mu?</t>
  </si>
  <si>
    <t>9.1.1.c</t>
  </si>
  <si>
    <t>Kuruluşun İSG performansını değerlendirme kriterlerini belirliyor mu?</t>
  </si>
  <si>
    <t>9.1.1.d</t>
  </si>
  <si>
    <t>İzleme ve ölçmenin ne zaman gerçekleştirilmesi gerektiğini belirliyor mu?</t>
  </si>
  <si>
    <t>9.1.1.e</t>
  </si>
  <si>
    <t>İzleme ve ölçme sonuçlarının ne zaman analiz edilmesi, değerlendirilmesi ve iletilmesi gerektiğini belirliyor mu?</t>
  </si>
  <si>
    <t xml:space="preserve">Kuruluş, İSG performansını ve yönetim sistemi etkinliğini değerlendiriyor mu? </t>
  </si>
  <si>
    <t>Kuruluş; izleme ve ölçme donanımının uygulanabildiğinde kalibre edilmesini veya doğrulanmasını ve uygun şekilde kullanılıp sürekliliğinin sağlandığını güvence altına alıyor mu?</t>
  </si>
  <si>
    <t>Kuruluş; izleme, ölçme, analiz ve performans değerlendirme sonuçlarının kanıtı olarak uygun dokümante edilmiş bilgiyi muhafaza ediyor mu?</t>
  </si>
  <si>
    <t>Kuruluş; ölçme teçhizatının bakımı, kalibrasyonu ve doğrulanması konusunda uygun dokümante edilmiş bilgiyi muhafaza ediyor mu?</t>
  </si>
  <si>
    <t xml:space="preserve">Kuruluş, yasal ve diğer şartlara uygunluğu değerlendirmek için uyguluyor mu? </t>
  </si>
  <si>
    <t>D8.1 P02 Yasal ve Diğer Şartların Takibi Prosedürü- D8.1 F02 Dış Kaynaklı doküman Listesi-</t>
  </si>
  <si>
    <t>Kuruluş:
a) Uygunluğun değerlendirme sıklığını ve yöntemini  belirliyor,
b) Uygunluğu değerlendirmeli ve gerektiğinde faaliyetleri gerçekleştiriyor (madde 10.2)
c) Uygunluk durumunu anlıyor ve bilgi birikiminin sürekliliğini sağlıyor
d) Uygunluk değerlendirmenin kanıtı olarak, uygun dokümante edilmiş bilgiyi muhafaza ediyor mu?</t>
  </si>
  <si>
    <t>Bkz.102</t>
  </si>
  <si>
    <t>D3 F6 47(0) İSG Yasal Şartlara Uyum Kontrol Tablosu - D4.1 P02 Yasal ve Diğer Şartların Belirlenmesi ve Kontrolü Prosedürü</t>
  </si>
  <si>
    <t>9.2.1</t>
  </si>
  <si>
    <t>Kuruluş, İSG yönetim sisteminin, Kuruluşun İSG politikası ve hedefleri dahil olmak üzere, kendi İSG yönetim sistemi için olan şartlara, Standardın şartlarına uygunluğu, etkili bir şekilde uygulandığı ve sürekliliğinin sağlandığını belirlemek için planlanan aralıklarla iç tetkikler yapıyor mu?</t>
  </si>
  <si>
    <t>Tetkiklerin Yönetimi Prosedürü, 2020 Kuruluş İçi Denetim Master Detay Planı</t>
  </si>
  <si>
    <t>D8.6 P01 DEnetim Yönetimi Prosüdürü-D8.6 F01 İç&amp;Dış Denetim Planı</t>
  </si>
  <si>
    <t>9.2.2.a</t>
  </si>
  <si>
    <t>Kuruluş; sıklık, yöntem, sorumluluk, danışma, planlama şartları ve iç tetkik raporlama dahil, ilgili proseslerin önemi ve önceki tetkik sonuçlarını dikkate alarak, iç tetkik programı/ programları planlıyor, oluşturuyor ve sürekliliğini sağlıyor mu?</t>
  </si>
  <si>
    <t>9.2.2.b</t>
  </si>
  <si>
    <t>Her bir tetkik için tetkik kriterleri ve kapsamı belirleniyor mu?</t>
  </si>
  <si>
    <t>9.2.2.c</t>
  </si>
  <si>
    <t>Tetkik prosesinin objektifliği ve tarafsızlığını güvence altına almak için tetkikçileri seçiyor ve tetkikleri gerçekleştiriyor mu?</t>
  </si>
  <si>
    <t>9.2.2.d</t>
  </si>
  <si>
    <t>Tetkik sonuçlarının ilgili yönetime rapor edilmesini güvence altına alınıyor, ilgili tetkik sonuçlarının çalışanlara, bulundukları yerde varsa, çalışan temsilcileri ve diğer ilgili taraflara rapor edilmesini güvence altına alıyor mu?</t>
  </si>
  <si>
    <t>Tetkiklerin Yönetimi Prosedürü, İSG İç Denetim Raporu</t>
  </si>
  <si>
    <t>9.2.2.e</t>
  </si>
  <si>
    <t>Uygunsuzlukları ele almak ve İSG performansını sürekli iyileştirmek için faaliyet gerçekleştiriyor mu?</t>
  </si>
  <si>
    <t>Tetkiklerin Yönetimi Prosedürü, İSG İç Denetim Raporu, Düzeltici Faaliyet Formları</t>
  </si>
  <si>
    <t>9.2.2.f</t>
  </si>
  <si>
    <t>Tetkik programının uygulandığı ve sonuçlarının kanıtı olarak, dokümante edilmiş bilgiyi muhafaza ediyor mu?</t>
  </si>
  <si>
    <t>Denetçi El Notları Formu,  İSG İç Denetim Raporu</t>
  </si>
  <si>
    <t>Kuruluşun üst yönetimi, planlanan aralıklarla, İSG yönetim sisteminin, uygunluğu, yeterliliği ve etkinliğinin sürekliliğini güvence altına almak amacıyla gözden geçiriyor mu?</t>
  </si>
  <si>
    <t>Yönetimin Sorumluluğu Prosedürü, Entegre YS El Kitabı</t>
  </si>
  <si>
    <t>9.3.a</t>
  </si>
  <si>
    <t>Yönetimin gözden geçirmesinde, önceden yapılan yönetimin gözden geçirmeleri sonucunda yapılan faaliyetlerin durumu değerlendiriliyor mu?</t>
  </si>
  <si>
    <t>Entegre YS El Kitabı, Toplantı Karar Formu</t>
  </si>
  <si>
    <t>9.3.b</t>
  </si>
  <si>
    <t>Yönetimin gözden geçirmesinde, İSG yönetim sistemiyle ilgili iç ve dış hususlardaki değişiklikler dahil, İlgili tarafların ihtiyaç ve beklentileri, Yasal ve diğer şartlar, Risk ve fırsatlar ile ilgili değişiklikler değerlendiriliyor mu?</t>
  </si>
  <si>
    <t>Bkz.112</t>
  </si>
  <si>
    <t>9.3.c</t>
  </si>
  <si>
    <t>İSG Politikası ve İSG hedeflerine erişme derecesi değerlendiriliyor mu?</t>
  </si>
  <si>
    <t>İSG Yönetim Gözden  Geçirme Raporunda politika gözden geçirilmiş. 19.01.2021 tarihinde İSG politikası güncellenmiştir.</t>
  </si>
  <si>
    <t>9.3.d</t>
  </si>
  <si>
    <t>Olaylar, uygunsuzluklar, düz. faaliyetler ve sürekli iyileştirme, İzleme ve ölçme sonuçları, Yasal ve diğer şartlara uygunluğun değerlendirme sonuçları, tetkik sonuçları, danışma ve çalışanların katılımı, risk ve fırsatlar ile ilgili eğilimler dahil, İSG performansı değerlendiriliyor mu?</t>
  </si>
  <si>
    <t>9.3.e</t>
  </si>
  <si>
    <t>Etkin bir İSG yönetim sisteminin sürekliliği için kaynakların yeterliliği değerlendiriyor mu?</t>
  </si>
  <si>
    <t>Yönetim Gözden  Geçirme kayıtları mevcut.D4.2 P03 Yönetim Gözden Geçirme Prosedürü+</t>
  </si>
  <si>
    <t>9.3.f</t>
  </si>
  <si>
    <t>İlgili taraflarla iletişim değerlendiriliyor mu?</t>
  </si>
  <si>
    <t>9.3.g</t>
  </si>
  <si>
    <t>Sürekli iyileştirme için fırsatlar değerlendiriyor mu?</t>
  </si>
  <si>
    <t>Yönetimin gözden geçirmesine ait çıktılar aşağıdakilerle ilgili kararları içeriyor mu:
-Amaçlanan çıktılara erişmede, İSG yönetim sisteminin uygunluğu, yeterliliği ve etkinliğinin sürekliliği,
-Sürekli iyileştirme fırsatları
-İSG yönetim sisteminde değişiklik ihtiyaçları
-İhtiyaç duyulan kaynaklar,
-Faaliyetler, gerektiğinde, 
-Diğer iş prosesleri ile İSG yönetim sisteminin entegrasyonunun geliştirilmesi için fırsatlar
-Kuruluşun stratejik yönü ile ilgili çıkarımlar</t>
  </si>
  <si>
    <t>Toplantı Karar Formu</t>
  </si>
  <si>
    <t>Üst yönetim , yönetimin gözden geçirmesine ait ilgili çıktıları çalışanlara ve bulundukları yerde varsa, çalışan temsilcilerine (madde 7.4) iletiyor mu?</t>
  </si>
  <si>
    <t>Kuruluş; yönetimin gözden geçirmesi sonuçlarının kanıtı olarak, dokümante edilmiş bilgiyi muhafaza ediyor mu?</t>
  </si>
  <si>
    <t>10.1</t>
  </si>
  <si>
    <t>Kuruluş, iyileştirme için fırsatları tayin ediyor (bk. Madde 9) ve İSG yönetim sisteminin amaçlanan çıktılarına erişmek için gerekli faaliyetleri gerçekleştiriyor mu?</t>
  </si>
  <si>
    <t>Düzeltici, Önleyici, İyileştirici ve Geliştirici Faaliyetlerin Yönetimi Prosedürü, Kaza Tespit ve Değerlendirme Formu, Düzeltici Faaliyet Formları</t>
  </si>
  <si>
    <t>D4.4 P01 Performans Değerlendirme ve İyileştirme Yönetimi Prosedürü-D8.4 P01 Düzeltici Faal. Prosedürü</t>
  </si>
  <si>
    <t>Kuruluş, olayları ve uygunsuzlukları belirleme ve yönetmek için raporlama, araştırma ve faaliyet gerçekleştirme dahil olmak üzere prosesler uyguluyor mu?</t>
  </si>
  <si>
    <t>Bkz.122</t>
  </si>
  <si>
    <t>D4.4 P01 Performans Değerlendirme ve İyileştirme Yönetimi Prosedürü-D8.4 P01 Düzeltici Faal. Prosedürü-Canias QLTT07 0000053-Müşteri Şikayeti sisteme geçirilmiş</t>
  </si>
  <si>
    <t>10.2.a</t>
  </si>
  <si>
    <t>Bir uygunsuzluk oluştuğunda, kuruluş, olaya veya uygunsuzluğa tepki veriyor ve uygulanabildiği durumda; uygunsuzluğu kontrol etmek ve düzeltmek için faaliyet yapıyor ve sonuçları ile değerlendiriyor mu?</t>
  </si>
  <si>
    <t>10.2.b</t>
  </si>
  <si>
    <t>Olay veya uygunsuzluğun tekrar veya başka bir yerde oluşmaması için kök nedenlerini ortadan kaldırmak amacıyla düzeltici faaliyet ihtiyacını, çalışanların katılımı (madde 5.4) ve diğer ilgili tarafları dahil ederek, aşağıdakileri değerlendiriyor mu?
-Olayı araştırma veya uygunsuzluğu gözden geçirme,
-Olayın veya uygunsuzluğun nedenlerini belirleme
-Benzer olayların oluşup oluşmadığı, uygunsuzlukların var olup olmadığı veya potansiyel olarak ortaya çıkabileceğinin belirlenmesi</t>
  </si>
  <si>
    <t>10.2.c</t>
  </si>
  <si>
    <t>İSG riskleri ve diğer risklerin var olan değerlendirmelerini gözden geçiriyor mu?</t>
  </si>
  <si>
    <t>10.2.d</t>
  </si>
  <si>
    <t>Kontrol hiyerarşisi (madde 8.1.2) ve değişim yönetimine (madde 8.1.3) uygun olarak, düzeltici faaliyet de dahil olmak üzere ihtiyaç duyulan her türlü faaliyeti belirleniyor ve uygulanıyor mu?</t>
  </si>
  <si>
    <t>10.2.e</t>
  </si>
  <si>
    <t>Faaliyet gerçekleştirmeden önce yeni veya değişmiş tehlikelerle ilgili İSG riskleri değerlendiriyor mu?</t>
  </si>
  <si>
    <t>10.2.f</t>
  </si>
  <si>
    <t>Düzeltici faaliyet de dahil olmak üzere gerçekleştirilen etkinliği gözden geçiriliyor mu?</t>
  </si>
  <si>
    <t>10.2.g</t>
  </si>
  <si>
    <t>Gerektiğinde İSG yönetim sisteminde değişiklik yapılıyor mu?</t>
  </si>
  <si>
    <t>Düzeltici faaliyet, olayların etkilerine veya potansiyel etkilerine veya karşılaşılan uygunsuzluğun etkisine uygun mudur?</t>
  </si>
  <si>
    <t>Kuruluş, olayların veya uygunsuzlukların yapısı ve sonrasında gerçekleştirilen herhangi bir faaliyet ve herhangi faaliyet ve düzeltici faaliyetin etkinliği de dahil olmak üzere, bunların sonuçları kanıtı olarak dokümante edilmiş bilgiyi muhafaza ediyor mu?</t>
  </si>
  <si>
    <t>Kuruluş, bu dokümante edilmiş bilgiyi ilgili çalışanlara ve bulundukları yerde varsa, çalışan temsilcilerine ve diğer ilgili taraflara iletiyor mu?</t>
  </si>
  <si>
    <t>Kuruluş; İSG yönetim sisteminin uygunluğunu, yeterliliğini ve etkinliğini aşağıdakiler ile sürekli iyileştiriyor mu:
-İSG performansının arttırılması
-İSG yönetim sistemini destekleyen bir kültürün teşvik edilmesi
-İSG yönetim sisteminin sürekli iyileştirilmesi için faaliyetlerin uygulanmasında çalışanların katılımının teşvik edilmesi
-Çalışanlara ve bulundukları yerde varsa, çalışan temsilcilerine sürekli iyileştirme sonuçlarının iletilmesi</t>
  </si>
  <si>
    <t>Sürekli iyileştirme çalışmaları</t>
  </si>
  <si>
    <t>Sürekli iyileşmenin kanıtı olarak dokümante edilmiş bilgiyi tayin ediyor, sürekliliğini sağlıyor ve muhafaza ediyor mu?</t>
  </si>
  <si>
    <t>İSG Yönetim Temsilcisi</t>
  </si>
  <si>
    <t>D1 Bilgi sistemleri Yönetimi</t>
  </si>
  <si>
    <t>D2 İnsan Kaynakları Yönetimi</t>
  </si>
  <si>
    <t>D8.2 ÜRÜNÜN İZLENMESİ &amp; ÖLÇÜLMESİ VE UYG. OLM. ÜRÜN  YÖNETİMİ</t>
  </si>
  <si>
    <t>D4 KURUMSAL FAAL. YÖNETİMİ+</t>
  </si>
  <si>
    <t>D8 KALİTE YÖNETİMİ</t>
  </si>
  <si>
    <t>D8.3 LABORATUVAR YÖNETİMİ+</t>
  </si>
  <si>
    <t>D8.4 DÜZELTİCİ FAALİYET YÖNETİMİ+</t>
  </si>
  <si>
    <t>D8.5 DEĞİŞİKLİKLERİN YÖNETİMİ+</t>
  </si>
  <si>
    <t>D8.6 DENETİM YÖNETİMİ+</t>
  </si>
  <si>
    <t>D8.7 KALİTE KONTROL</t>
  </si>
  <si>
    <t>T3.3 Bakım Yönetimi</t>
  </si>
  <si>
    <t>Denetim Tarihi ve Kodu: 08.05.2024</t>
  </si>
  <si>
    <t>Denetlenenler    :güllü Ünlü-Fevzi Ünal</t>
  </si>
  <si>
    <t>Ana Referansı:D3.2 P01 İSG Yönetimi Prosedürü</t>
  </si>
  <si>
    <t>Denetçiler     :Onur Yalçın Stajyer Denetçi: Orhan Dalbudak-Funda akay</t>
  </si>
  <si>
    <t>D4.1 F02 SÜREÇ RİSK ANALİZİ D2 İnsan Kaynakları Yönetimi+ riskv efırsatlar belirlenmiştir.</t>
  </si>
  <si>
    <t>D4.1 F02 SÜREÇ RİSK ANALİZİ D2 İnsan Kaynakları Yönetimi amaçları belirlenmiştir.</t>
  </si>
  <si>
    <t>Y1 P5.01(6) Strateji Yönetimi ve Kurumsal İletişim Prosedürü ile iletişimler belirlenmiştir.</t>
  </si>
  <si>
    <t>Günlük QRQC toplantıları ve yıllık olarak YGG de gözden geçirilmektedir.Son YGG toplantısının D4.3 F06 Yönetim Gözden Geçirme Raporu- D2 İK 13.06.2023 te gerçekleştiği görüldü.</t>
  </si>
  <si>
    <t>D4.1 F02 SÜREÇ RİSK ANALİZİ D2 İnsan Kaynakları Yönetimi+D2.1 F01 Personel Yetkinlik İzleme Tablosu 2024</t>
  </si>
  <si>
    <t>D2.1 F01 Personel Yetkinlik İzleme Tablosu 2024</t>
  </si>
  <si>
    <t>D2 F 6.01 Personel Yetkinlik İzleme Tablosu 2024- Canias TRNT 21 Eğitim kayıtları tutulmakta ve personel sicil kayıtlarına eklenmektedir.</t>
  </si>
  <si>
    <t>D2 F 6.01 Personel Yetkinlik İzleme Tablosu 2024-Personel farkındalıklarının olduğu gözlendi</t>
  </si>
  <si>
    <t>Organizasyon şeması mevcuttur. D5 K04 Debak A.Ş. Organizasyon Şeması 27.11.2023</t>
  </si>
  <si>
    <t>D2 T17 Görev Tanımı - Üretim Operatörleri personeline teslim edildiği görüldü.</t>
  </si>
  <si>
    <t>D2 F 6 02 Çok Görevlilk Tablosu-2024 planlama yapılırken dikkate alınmaktadır.</t>
  </si>
  <si>
    <t>D2.1 F04 Yıllık Eğitim Planıı - D2.1 P01 Eğitim Prosedürü değerlendirme yöntemleri belirlenmiştir. Canias TRNT21 Eğitim kayıtlarına da rastlanmıştır.06.05.2024 Cihan Şahin Oryantasyon eğitim kaydı gözlendi.</t>
  </si>
  <si>
    <t>D2.1 F04 Yıllık Eğitim Planıı - D2.1 P01 Eğitim Prosedürü değerlendirme yöntemleri belirlenmiştir. Canias TRNT21 Eğitim kayıtlarına da rastlanmıştır.26.04.2024 tarihinde Damla Kartalın oryantasyon eğitimine rastlandı.</t>
  </si>
  <si>
    <t>eğitim ihtiyaçları belirlenmekte ve planlanmaktadır. Eğitimler gerçekleştirilmektedir.'14.02.2024 tarihinde Müşteri Vakaları Eğitiminine Zübeyde Kösem katıldığı ve değerlendirildiği görüldü.</t>
  </si>
  <si>
    <t>D2.1 F04 Yıllık Eğitim Planıı &amp; Canias TRNT 21 de tekrarlı eğitimler yıllık olarak takip edilmektedir.03.06.2024 Fissler Yan Sap Üretim Eğitimi ne Mehmet Çakal ın katıldığı ve kayıtları görüldü.</t>
  </si>
  <si>
    <t>Canias TRNT21 Eğitim kayıtlarına da rastlanmıştır.06.05.2024 Cihan Şahin Oryantasyon eğitim kaydı gözlendi.</t>
  </si>
  <si>
    <t>Müşteri Memnuniyeti ölçülmektedir.Değerlendirme yapılmakta ve aksiyon alınmaktadır.</t>
  </si>
  <si>
    <t>D3 U5 Yönetim Sistemi Kapsam ve Referansları belirlenmiştir.</t>
  </si>
  <si>
    <t>İsg Yönetim sistemi oluşturulmuş, sürdürülmektedir.                                                               D3.2 P01 İş Güvenliği Yönetimi Prosedürü , İlgili talimatlar mevcuttur.D3.2 T10 Kişisel koruyucu ekipman kullanım talimatı sahada rastlandı.</t>
  </si>
  <si>
    <t>İSG Kurulu oluşturulmuş ve İSG Kurul tutanakları mevcuttur. Son kurul toplantısının 25.04.2024 tarihinde gerçekleştiği görüldü.</t>
  </si>
  <si>
    <t>Y1 T5.03 İSG Politikası oluşturulmuş ve çalışan ve diğer paydaşlarla paylaşılmıştır.10.12.2021 tarihinde revi edilmiştir. İşyeri içerisinde ve web siteisinde paydaşlar ile paylaşılmıştır.</t>
  </si>
  <si>
    <t>İSG yönetim sistemi uygulanmakta ve sürdürülmektedir. İSG toplantı tutanakları, Ramak kala, öneri sistemi uygulanmaktadır. 25.04.2024 tarihindeki kurul tutanağı görülmüştür. İSG performansları belirlenmiş ve takip edilmektedir.</t>
  </si>
  <si>
    <t>D3.2 F01 DEBAK ver. 2024 İSG Uzamanı Fatma Tahtalı ile hazırlanmıştır.</t>
  </si>
  <si>
    <t>D3.2 F01 DEBAK ver. 2024 - D3.2 P01 İş Güvenliği Yönetimi Prosedürü</t>
  </si>
  <si>
    <t>D3.2 F01 DEBAK ver. 2024 - D3.2 P01 İş Güvenliği Yönetimi Prosedürüü-K01- Bölüm 7- Stratejik Planlama  Tabloları</t>
  </si>
  <si>
    <t>D3.2 F05 İSG Yasal Şartlara Uyum Kontrol Tablosu 'Gözden Geçirme (08.11.2023) geçirildiği görüldü.</t>
  </si>
  <si>
    <t>D3.2 F05 İSG Yasal Şartlara Uyum Kontrol Tablosu 'Gözden Geçirme (08.11.2023) geçirildiği görüldü.D8.1 P02 Yasal ve Diğer Şartların Takibi Prosedürü</t>
  </si>
  <si>
    <t>D8.1 P01 Döküman Yönetimi Prosedürü - D8.5 F03 Çevre &amp;İSG Değişikliklerinin Yönetimi Tablosu 13.12.2023 gözden geçirilmiştir.</t>
  </si>
  <si>
    <t>D3.2 F02 İş güvenliği Amaç ve Hedefler Tablosu+D4.4 F06 Tüm Süreçler Performans İzleme Tablosu 2024</t>
  </si>
  <si>
    <t>D2.1 F04 Yıllık Eğitim Planı 2024 - Canias TRNT 21 de eğitim kayıtları gözlendi. İSG eğitimlerinin yapıldığı görülmekte. Oryantasyon İSG Yönetim Sistemi 25.03.2024 tarihinde Oryantasyon İSG Yönetim Sistemi nbe Nevim Şahin in katıldığı görüldü.</t>
  </si>
  <si>
    <t>D2.1 F04 Yıllık Eğitim Planı 2024 - Canias TRNT 21 de eğitim kayıtları gözlendi. İSG eğitimlerinin yapıldığı görülmekte. Oryantasyon İSG Yönetim Sistemi Ramak Kala (Yakın Kaza) Eğitimi tarihinde tarihind eRAmak Kala Eğitiminin düzenlendiği görüldü</t>
  </si>
  <si>
    <t>D4.3 T01 İletişim Talimatı nda mevcuttur.</t>
  </si>
  <si>
    <t>D4.4 P01 Performans Değerlendirme ve İyileştirme Yönetimi Prosedürü-D4.4 F06 Tüm Süreçler Performans İzleme Tablosu 2024. Kalibrasyon kayıtları mevuttur.</t>
  </si>
  <si>
    <t>D8.6 P01 DEnetim Yönetimi Prosüdürü-D8.6 F01 İç&amp;Dış Denetim Planı mevcuttur. Sıklıklar belirlenmiştir. Takip denetim cinsi normal ve takip denetimi olarak takip edilmekteid.r</t>
  </si>
  <si>
    <t>Plan göre 08.05.2024te İSG denetimi gerçekleştiriliyor.D8.6 P01 DEnetim Yönetimi Prosüdürü-D8.6 F01 İç&amp;Dış Denetim Planı- Denetim planına uygun gerçekleştirildiği gözlendi.</t>
  </si>
  <si>
    <t>İSG Yönetim Gözden  Geçirme Raporunda bir önceki yılın derlendirilmesi gözden geçirilmiş-ygg 2024 değerlendirilmesi denetim sonrasına planlandığı görülmüştür.</t>
  </si>
  <si>
    <t>D4.4 F06 Tüm Süreçler Performans İzleme Tablosu 2024</t>
  </si>
  <si>
    <t>İSG Yönetim Gözden  Geçirme Raporu kayıtları biilgisayar ortamında depolenmaktadır.2023 dönemi kontrol edildi. 2024 YGG sinin denetim sonrasına planlandığı görüldü.</t>
  </si>
  <si>
    <t>D4.4 P01 Performans Değerlendirme ve İyileştirme Yönetimi Prosedürü-D8.4 P01 Düzeltici Faal. Prosedürü-Canias QLTT07 00000087- 564327 referansı için Müşteri Şikayeti sisteme geçirilmiş</t>
  </si>
  <si>
    <t>Y2 P8.02 Düzeltici Faal. Prosedürü-Y2 P8.01(4) Performans Değerlendirme ve İyileştirme Yönetimi Prosedürü-Canias QLTT07 00000087- 564327 referansı için Müşteri Şikayeti sisteme geçirilmiş</t>
  </si>
  <si>
    <t>İmza ve tarih : 08.05.2024</t>
  </si>
  <si>
    <t>İSG ile ilgili ueğitimler etkin şekilde gerçekleştirilmekte ve personelin farkındalıklarının yüksek olduğu görüldü.</t>
  </si>
  <si>
    <t>Onur Yalçın-Harun Reşit Didn</t>
  </si>
  <si>
    <t>Bayram Çumbul</t>
  </si>
  <si>
    <t>süreç ile ilgili ekipmanlar ve donanımlar sağlanmıştır. PDKS sistemi personel giriş-çıkış saatleri kayıt edilmektedir. Ancak bordrolar hesaplanırken PDKS den gelen datalar sisteme manuel olarak işlenmektedir. İki sistem birbirine entegre edilebilir ya da farklı bir PDKS progrmaı kullanılabilir.</t>
  </si>
  <si>
    <t>Kalite Politikalarına web sitesinden erişim sağlayabilmektedir.</t>
  </si>
  <si>
    <t>1 adet iyileştirme tespit edilmiştir.</t>
  </si>
  <si>
    <t>bordrolar hesaplanırken PDKS den gelen datalar sisteme manuel olarak işlenmektedir. İki sistem birbirine entegre edilebilir ya da farklı bir PDKS progrmaı kullanılabilir.</t>
  </si>
  <si>
    <t>Değişiklikler belirleniyor ve takip ediliyor.Değişiklikleri izleme tablosu</t>
  </si>
  <si>
    <t>QLTT 07 Düzeltici faaliyetler düzenlenmekte ve tüm  Listede takip edilmektedir.Hedefini tutmayan durumlar için performans takip listesinde aksiyonlar belirlenmiştir.</t>
  </si>
  <si>
    <t>D8.6 F02 Proses Denetimi ref. 698637 Ürün için -26.01.2024 tarihinde Proses denetimi gerçekleştirilmiş.</t>
  </si>
  <si>
    <t>REVİR;</t>
  </si>
  <si>
    <r>
      <t>1.</t>
    </r>
    <r>
      <rPr>
        <sz val="7"/>
        <color theme="1"/>
        <rFont val="Times New Roman"/>
        <family val="1"/>
        <charset val="162"/>
      </rPr>
      <t xml:space="preserve">      </t>
    </r>
    <r>
      <rPr>
        <sz val="11"/>
        <color theme="1"/>
        <rFont val="Calibri"/>
        <family val="2"/>
        <scheme val="minor"/>
      </rPr>
      <t>Yönetmeliğe uygun şartları sağlıyor mu?</t>
    </r>
  </si>
  <si>
    <r>
      <t>2.</t>
    </r>
    <r>
      <rPr>
        <sz val="7"/>
        <color theme="1"/>
        <rFont val="Times New Roman"/>
        <family val="1"/>
        <charset val="162"/>
      </rPr>
      <t xml:space="preserve">      </t>
    </r>
    <r>
      <rPr>
        <sz val="11"/>
        <color theme="1"/>
        <rFont val="Calibri"/>
        <family val="2"/>
        <scheme val="minor"/>
      </rPr>
      <t xml:space="preserve">İlkyardım dolabında yönetmeliğe göre bulunması gereken malzemeler ve aletler mevcut mudur? </t>
    </r>
  </si>
  <si>
    <r>
      <t>3.</t>
    </r>
    <r>
      <rPr>
        <sz val="7"/>
        <color theme="1"/>
        <rFont val="Times New Roman"/>
        <family val="1"/>
        <charset val="162"/>
      </rPr>
      <t xml:space="preserve">      </t>
    </r>
    <r>
      <rPr>
        <sz val="11"/>
        <color theme="1"/>
        <rFont val="Calibri"/>
        <family val="2"/>
        <scheme val="minor"/>
      </rPr>
      <t>Sedye  ve uygun paravan mevcut mu?</t>
    </r>
  </si>
  <si>
    <t>1.	Sürücünün araca uygun ehliyeti var mı? SRC 2 belgesi mevcut mu?</t>
  </si>
  <si>
    <t>SERVİS;</t>
  </si>
  <si>
    <r>
      <t>2.</t>
    </r>
    <r>
      <rPr>
        <sz val="7"/>
        <color theme="1"/>
        <rFont val="Times New Roman"/>
        <family val="1"/>
        <charset val="162"/>
      </rPr>
      <t xml:space="preserve">      </t>
    </r>
    <r>
      <rPr>
        <sz val="11"/>
        <color theme="1"/>
        <rFont val="Calibri"/>
        <family val="2"/>
        <scheme val="minor"/>
      </rPr>
      <t>Servis aracının periyodik bakım ve onarımı yapılıyor mu? Aracın temizliği, tertip düzeni iyi mi?</t>
    </r>
  </si>
  <si>
    <r>
      <t>3.</t>
    </r>
    <r>
      <rPr>
        <sz val="7"/>
        <color theme="1"/>
        <rFont val="Times New Roman"/>
        <family val="1"/>
        <charset val="162"/>
      </rPr>
      <t xml:space="preserve">      </t>
    </r>
    <r>
      <rPr>
        <sz val="11"/>
        <color theme="1"/>
        <rFont val="Calibri"/>
        <family val="2"/>
        <scheme val="minor"/>
      </rPr>
      <t>Servis aracında “İlkyardım Çantası ve Trafik Seti” bulunuyor mu?</t>
    </r>
  </si>
  <si>
    <r>
      <t>4.</t>
    </r>
    <r>
      <rPr>
        <sz val="7"/>
        <color theme="1"/>
        <rFont val="Times New Roman"/>
        <family val="1"/>
        <charset val="162"/>
      </rPr>
      <t xml:space="preserve">      </t>
    </r>
    <r>
      <rPr>
        <sz val="11"/>
        <color theme="1"/>
        <rFont val="Calibri"/>
        <family val="2"/>
        <scheme val="minor"/>
      </rPr>
      <t>Servis aracında bakımlı yangın söndürme tüpü bulunuyor mu?</t>
    </r>
  </si>
  <si>
    <r>
      <t>5.</t>
    </r>
    <r>
      <rPr>
        <sz val="7"/>
        <color theme="1"/>
        <rFont val="Times New Roman"/>
        <family val="1"/>
        <charset val="162"/>
      </rPr>
      <t xml:space="preserve">      </t>
    </r>
    <r>
      <rPr>
        <sz val="11"/>
        <color theme="1"/>
        <rFont val="Calibri"/>
        <family val="2"/>
        <scheme val="minor"/>
      </rPr>
      <t>Belirtilen güzergâha uyuluyor mu?</t>
    </r>
  </si>
  <si>
    <t>Yönetmeliği uygun şekilde tasarlanmış ve düzenlenmiştir. Sedye ve paravan mevcuttur. İlkyardım dolabı mevcut olup, kontrolleri gerçekleştirilmektedir.</t>
  </si>
  <si>
    <t>Can Günbay/ SRC belgesi mevcuttur, guzargah belirlenmiş olup, belirlenen güzargaha uyulmaktadır. İlkyardım çantası ve yangın tüpü bulunmaktadır. Araçların periyodik muayeneleri tamdır.</t>
  </si>
  <si>
    <r>
      <t>1.</t>
    </r>
    <r>
      <rPr>
        <sz val="7"/>
        <color theme="1"/>
        <rFont val="Times New Roman"/>
        <family val="1"/>
        <charset val="162"/>
      </rPr>
      <t xml:space="preserve">      </t>
    </r>
    <r>
      <rPr>
        <sz val="11"/>
        <color theme="1"/>
        <rFont val="Calibri"/>
        <family val="2"/>
        <scheme val="minor"/>
      </rPr>
      <t>Güvenlik personelinin yetkin olduğuna dair sertifikası mevcut mu?</t>
    </r>
  </si>
  <si>
    <t>GÜVENLİK;</t>
  </si>
  <si>
    <t>2. Görevli giriş-çıkşları kontrol etmekte ve kayıt altına almakta mıdır?</t>
  </si>
  <si>
    <t>3.	Gece vardiyasında periyodik olarak işletme etrafını kontrol ediyor mu?</t>
  </si>
  <si>
    <t>4.	İçerde yangın söndürme cihazı mevcut mu?</t>
  </si>
  <si>
    <t xml:space="preserve">Güvenlik firması ile çalışılmkatadır. Tüm personelin seertifikaları mevcuttur. Gün içeirsinde belirlenen bölgelerde barkodlar mevcuttur, görevli burdaki barkodu outarak fabrikanın etrafını kontrol etmekte ve kayıt altına alınmaktadır.
Oda da yangın tüpü mevcuttur. Giriş çıkış kayıt defteri tutulmaktadır. </t>
  </si>
  <si>
    <t>136</t>
  </si>
  <si>
    <t>137</t>
  </si>
  <si>
    <t>138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</si>
</sst>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sz val="11"/>
      <color theme="1"/>
      <name val="Arial"/>
      <family val="2"/>
      <charset val="162"/>
    </font>
    <font>
      <sz val="11"/>
      <color theme="1"/>
      <name val="Arial"/>
      <family val="2"/>
      <charset val="162"/>
    </font>
    <font>
      <b/>
      <sz val="11"/>
      <color theme="1"/>
      <name val="Arial"/>
      <family val="2"/>
      <charset val="162"/>
    </font>
    <font>
      <sz val="10"/>
      <name val="Arial"/>
      <family val="2"/>
      <charset val="162"/>
    </font>
    <font>
      <b/>
      <sz val="16"/>
      <name val="Arial"/>
      <family val="2"/>
      <charset val="162"/>
    </font>
    <font>
      <b/>
      <sz val="11"/>
      <name val="Arial"/>
      <family val="2"/>
      <charset val="162"/>
    </font>
    <font>
      <sz val="10"/>
      <color theme="1"/>
      <name val="Arial"/>
      <family val="2"/>
      <charset val="162"/>
    </font>
    <font>
      <sz val="12"/>
      <color theme="1"/>
      <name val="Arial"/>
      <family val="2"/>
      <charset val="162"/>
    </font>
    <font>
      <sz val="8"/>
      <color theme="1"/>
      <name val="Arial"/>
      <family val="2"/>
      <charset val="162"/>
    </font>
    <font>
      <sz val="11"/>
      <name val="Arial"/>
      <family val="2"/>
      <charset val="162"/>
    </font>
    <font>
      <sz val="6"/>
      <color theme="1"/>
      <name val="Arial"/>
      <family val="2"/>
      <charset val="162"/>
    </font>
    <font>
      <b/>
      <sz val="10"/>
      <color theme="1"/>
      <name val="Arial"/>
      <family val="2"/>
      <charset val="162"/>
    </font>
    <font>
      <b/>
      <sz val="8"/>
      <name val="Arial"/>
      <family val="2"/>
      <charset val="162"/>
    </font>
    <font>
      <b/>
      <sz val="8"/>
      <color theme="1"/>
      <name val="Arial"/>
      <family val="2"/>
      <charset val="162"/>
    </font>
    <font>
      <sz val="10"/>
      <name val="Arial"/>
      <family val="2"/>
      <charset val="162"/>
    </font>
    <font>
      <b/>
      <sz val="10"/>
      <name val="Arial"/>
      <family val="2"/>
      <charset val="162"/>
    </font>
    <font>
      <sz val="8"/>
      <name val="Arial"/>
      <family val="2"/>
      <charset val="162"/>
    </font>
    <font>
      <b/>
      <sz val="10"/>
      <name val="Wingdings"/>
      <charset val="2"/>
    </font>
    <font>
      <b/>
      <sz val="12"/>
      <name val="Arial"/>
      <family val="2"/>
      <charset val="162"/>
    </font>
    <font>
      <sz val="9"/>
      <name val="Arial"/>
      <family val="2"/>
      <charset val="162"/>
    </font>
    <font>
      <b/>
      <sz val="9"/>
      <name val="Arial"/>
      <family val="2"/>
      <charset val="162"/>
    </font>
    <font>
      <sz val="10"/>
      <name val="Arial Tur"/>
      <charset val="162"/>
    </font>
    <font>
      <sz val="8"/>
      <name val="Arial Tur"/>
      <charset val="162"/>
    </font>
    <font>
      <b/>
      <sz val="14"/>
      <name val="Arial Tur"/>
      <charset val="162"/>
    </font>
    <font>
      <b/>
      <sz val="14"/>
      <name val="Wingdings"/>
      <charset val="2"/>
    </font>
    <font>
      <b/>
      <sz val="11"/>
      <color theme="1"/>
      <name val="Calibri"/>
      <family val="2"/>
      <charset val="162"/>
      <scheme val="minor"/>
    </font>
    <font>
      <sz val="7"/>
      <color theme="1"/>
      <name val="Times New Roman"/>
      <family val="1"/>
      <charset val="162"/>
    </font>
    <font>
      <u/>
      <sz val="11"/>
      <color theme="10"/>
      <name val="Calibri"/>
      <family val="2"/>
      <scheme val="minor"/>
    </font>
  </fonts>
  <fills count="6">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
      <patternFill patternType="solid">
        <fgColor theme="0"/>
        <bgColor indexed="64"/>
      </patternFill>
    </fill>
    <fill>
      <patternFill patternType="solid">
        <fgColor indexed="9"/>
        <bgColor indexed="64"/>
      </patternFill>
    </fill>
  </fills>
  <borders count="15">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indexed="64"/>
      </top>
      <bottom/>
      <diagonal/>
    </border>
    <border>
      <left/>
      <right/>
      <top/>
      <bottom style="thin">
        <color indexed="64"/>
      </bottom>
      <diagonal/>
    </border>
    <border>
      <left/>
      <right style="thin">
        <color indexed="64"/>
      </right>
      <top/>
      <bottom/>
      <diagonal/>
    </border>
    <border>
      <left style="thin">
        <color indexed="64"/>
      </left>
      <right style="thin">
        <color indexed="64"/>
      </right>
      <top/>
      <bottom/>
      <diagonal/>
    </border>
  </borders>
  <cellStyleXfs count="5">
    <xf numFmtId="0" fontId="0" fillId="0" borderId="0"/>
    <xf numFmtId="0" fontId="4" fillId="0" borderId="0"/>
    <xf numFmtId="0" fontId="15" fillId="0" borderId="0"/>
    <xf numFmtId="0" fontId="22" fillId="0" borderId="0"/>
    <xf numFmtId="0" fontId="28" fillId="0" borderId="0" applyNumberFormat="0" applyFill="0" applyBorder="0" applyAlignment="0" applyProtection="0"/>
  </cellStyleXfs>
  <cellXfs count="196">
    <xf numFmtId="0" fontId="0" fillId="0" borderId="0" xfId="0"/>
    <xf numFmtId="0" fontId="2" fillId="0" borderId="0" xfId="0" applyFont="1"/>
    <xf numFmtId="0" fontId="6" fillId="2" borderId="2" xfId="0" applyFont="1" applyFill="1" applyBorder="1" applyAlignment="1">
      <alignment horizontal="left" vertical="center"/>
    </xf>
    <xf numFmtId="49" fontId="7" fillId="3" borderId="4" xfId="0" applyNumberFormat="1" applyFont="1" applyFill="1" applyBorder="1"/>
    <xf numFmtId="0" fontId="4" fillId="3" borderId="6" xfId="0" applyFont="1" applyFill="1" applyBorder="1" applyAlignment="1">
      <alignment horizontal="center" vertical="center"/>
    </xf>
    <xf numFmtId="49" fontId="7" fillId="3" borderId="5" xfId="0" applyNumberFormat="1" applyFont="1" applyFill="1" applyBorder="1"/>
    <xf numFmtId="0" fontId="2" fillId="0" borderId="6" xfId="0" applyFont="1" applyBorder="1" applyAlignment="1">
      <alignment horizontal="center" vertical="center"/>
    </xf>
    <xf numFmtId="0" fontId="7" fillId="0" borderId="6" xfId="0" applyFont="1" applyBorder="1" applyAlignment="1">
      <alignment vertical="center" wrapText="1"/>
    </xf>
    <xf numFmtId="0" fontId="2" fillId="0" borderId="6" xfId="0" applyFont="1" applyBorder="1"/>
    <xf numFmtId="0" fontId="2" fillId="0" borderId="0" xfId="0" applyFont="1" applyAlignment="1">
      <alignment horizontal="center" vertical="center"/>
    </xf>
    <xf numFmtId="0" fontId="8" fillId="0" borderId="0" xfId="0" applyFont="1" applyAlignment="1">
      <alignment horizontal="center" vertical="center"/>
    </xf>
    <xf numFmtId="49" fontId="2" fillId="0" borderId="0" xfId="0" applyNumberFormat="1" applyFont="1" applyAlignment="1">
      <alignment horizontal="center" vertical="center"/>
    </xf>
    <xf numFmtId="49" fontId="7" fillId="0" borderId="6" xfId="0" applyNumberFormat="1" applyFont="1" applyBorder="1" applyAlignment="1">
      <alignment horizontal="center" vertical="center" wrapText="1"/>
    </xf>
    <xf numFmtId="0" fontId="5" fillId="2" borderId="1" xfId="0" applyFont="1" applyFill="1" applyBorder="1" applyAlignment="1">
      <alignment horizontal="center"/>
    </xf>
    <xf numFmtId="0" fontId="5" fillId="2" borderId="2" xfId="0" applyFont="1" applyFill="1" applyBorder="1" applyAlignment="1">
      <alignment horizontal="center"/>
    </xf>
    <xf numFmtId="0" fontId="5" fillId="2" borderId="3" xfId="0" applyFont="1" applyFill="1" applyBorder="1" applyAlignment="1">
      <alignment horizontal="center"/>
    </xf>
    <xf numFmtId="0" fontId="5" fillId="2" borderId="1" xfId="0" applyFont="1" applyFill="1" applyBorder="1"/>
    <xf numFmtId="0" fontId="5" fillId="2" borderId="2" xfId="0" applyFont="1" applyFill="1" applyBorder="1"/>
    <xf numFmtId="0" fontId="5" fillId="2" borderId="3" xfId="0" applyFont="1" applyFill="1" applyBorder="1"/>
    <xf numFmtId="0" fontId="10" fillId="4" borderId="0" xfId="0" applyFont="1" applyFill="1" applyAlignment="1">
      <alignment horizontal="center" vertical="center"/>
    </xf>
    <xf numFmtId="0" fontId="4" fillId="4" borderId="6" xfId="0" applyFont="1" applyFill="1" applyBorder="1" applyAlignment="1">
      <alignment vertical="center" wrapText="1"/>
    </xf>
    <xf numFmtId="49" fontId="4" fillId="4" borderId="6" xfId="0" applyNumberFormat="1" applyFont="1" applyFill="1" applyBorder="1" applyAlignment="1">
      <alignment horizontal="center" vertical="center" wrapText="1"/>
    </xf>
    <xf numFmtId="0" fontId="7" fillId="4" borderId="6" xfId="0" applyFont="1" applyFill="1" applyBorder="1" applyAlignment="1">
      <alignment vertical="center" wrapText="1"/>
    </xf>
    <xf numFmtId="0" fontId="9" fillId="0" borderId="1" xfId="0" applyFont="1" applyBorder="1" applyAlignment="1">
      <alignment horizontal="left" vertical="center" wrapText="1"/>
    </xf>
    <xf numFmtId="0" fontId="7" fillId="0" borderId="6" xfId="0" applyFont="1" applyBorder="1" applyAlignment="1">
      <alignment horizontal="center" vertical="center" wrapText="1"/>
    </xf>
    <xf numFmtId="0" fontId="1" fillId="0" borderId="0" xfId="0" applyFont="1"/>
    <xf numFmtId="49" fontId="11" fillId="0" borderId="1" xfId="0" applyNumberFormat="1" applyFont="1" applyBorder="1" applyAlignment="1">
      <alignment horizontal="left" vertical="center" wrapText="1"/>
    </xf>
    <xf numFmtId="49" fontId="6" fillId="2" borderId="2" xfId="0" applyNumberFormat="1" applyFont="1" applyFill="1" applyBorder="1" applyAlignment="1">
      <alignment horizontal="left" vertical="center"/>
    </xf>
    <xf numFmtId="0" fontId="7" fillId="4" borderId="6" xfId="0" applyFont="1" applyFill="1" applyBorder="1" applyAlignment="1">
      <alignment horizontal="center" vertical="center" wrapText="1"/>
    </xf>
    <xf numFmtId="0" fontId="7" fillId="4" borderId="6" xfId="0" quotePrefix="1" applyFont="1" applyFill="1" applyBorder="1" applyAlignment="1">
      <alignment horizontal="left" vertical="center" wrapText="1"/>
    </xf>
    <xf numFmtId="0" fontId="4" fillId="4" borderId="6" xfId="0" quotePrefix="1" applyFont="1" applyFill="1" applyBorder="1" applyAlignment="1">
      <alignment horizontal="left" vertical="center" wrapText="1"/>
    </xf>
    <xf numFmtId="49" fontId="7" fillId="0" borderId="6" xfId="0" quotePrefix="1" applyNumberFormat="1" applyFont="1" applyBorder="1" applyAlignment="1">
      <alignment horizontal="center" vertical="center" wrapText="1"/>
    </xf>
    <xf numFmtId="49" fontId="7" fillId="4" borderId="6" xfId="0" applyNumberFormat="1" applyFont="1" applyFill="1" applyBorder="1" applyAlignment="1">
      <alignment vertical="center" wrapText="1"/>
    </xf>
    <xf numFmtId="49" fontId="11" fillId="0" borderId="1" xfId="0" quotePrefix="1" applyNumberFormat="1" applyFont="1" applyBorder="1" applyAlignment="1">
      <alignment horizontal="left" vertical="center" wrapText="1"/>
    </xf>
    <xf numFmtId="0" fontId="1" fillId="0" borderId="6" xfId="0" applyFont="1" applyBorder="1"/>
    <xf numFmtId="0" fontId="9" fillId="0" borderId="0" xfId="0" applyFont="1"/>
    <xf numFmtId="0" fontId="13" fillId="2" borderId="2" xfId="0" quotePrefix="1" applyFont="1" applyFill="1" applyBorder="1" applyAlignment="1">
      <alignment horizontal="left" vertical="center"/>
    </xf>
    <xf numFmtId="0" fontId="13" fillId="2" borderId="2" xfId="0" applyFont="1" applyFill="1" applyBorder="1"/>
    <xf numFmtId="0" fontId="9" fillId="2" borderId="2" xfId="0" applyFont="1" applyFill="1" applyBorder="1"/>
    <xf numFmtId="49" fontId="6" fillId="2" borderId="1" xfId="0" quotePrefix="1" applyNumberFormat="1" applyFont="1" applyFill="1" applyBorder="1" applyAlignment="1">
      <alignment horizontal="left" vertical="center"/>
    </xf>
    <xf numFmtId="0" fontId="1" fillId="0" borderId="6" xfId="0" quotePrefix="1" applyFont="1" applyBorder="1" applyAlignment="1">
      <alignment horizontal="left" wrapText="1"/>
    </xf>
    <xf numFmtId="0" fontId="9" fillId="2" borderId="2" xfId="0" quotePrefix="1" applyFont="1" applyFill="1" applyBorder="1" applyAlignment="1">
      <alignment horizontal="left"/>
    </xf>
    <xf numFmtId="0" fontId="18" fillId="5" borderId="4" xfId="2" applyFont="1" applyFill="1" applyBorder="1" applyAlignment="1">
      <alignment horizontal="center" vertical="center"/>
    </xf>
    <xf numFmtId="0" fontId="19" fillId="5" borderId="0" xfId="0" applyFont="1" applyFill="1"/>
    <xf numFmtId="0" fontId="0" fillId="5" borderId="0" xfId="0" applyFill="1"/>
    <xf numFmtId="0" fontId="17" fillId="5" borderId="0" xfId="0" applyFont="1" applyFill="1"/>
    <xf numFmtId="0" fontId="16" fillId="5" borderId="0" xfId="0" applyFont="1" applyFill="1"/>
    <xf numFmtId="0" fontId="4" fillId="3" borderId="10" xfId="0" applyFont="1" applyFill="1" applyBorder="1" applyAlignment="1">
      <alignment horizontal="left"/>
    </xf>
    <xf numFmtId="0" fontId="0" fillId="3" borderId="12" xfId="0" applyFill="1" applyBorder="1"/>
    <xf numFmtId="0" fontId="0" fillId="3" borderId="9" xfId="0" applyFill="1" applyBorder="1"/>
    <xf numFmtId="0" fontId="4" fillId="5" borderId="0" xfId="0" applyFont="1" applyFill="1" applyAlignment="1">
      <alignment horizontal="left"/>
    </xf>
    <xf numFmtId="0" fontId="0" fillId="3" borderId="8" xfId="0" applyFill="1" applyBorder="1"/>
    <xf numFmtId="0" fontId="0" fillId="5" borderId="0" xfId="0" applyFill="1" applyAlignment="1">
      <alignment horizontal="center"/>
    </xf>
    <xf numFmtId="0" fontId="4" fillId="5" borderId="0" xfId="0" applyFont="1" applyFill="1"/>
    <xf numFmtId="49" fontId="1" fillId="3" borderId="0" xfId="0" applyNumberFormat="1" applyFont="1" applyFill="1" applyAlignment="1">
      <alignment horizontal="left" vertical="center"/>
    </xf>
    <xf numFmtId="49" fontId="1" fillId="3" borderId="0" xfId="0" applyNumberFormat="1" applyFont="1" applyFill="1" applyAlignment="1">
      <alignment horizontal="center" vertical="center"/>
    </xf>
    <xf numFmtId="0" fontId="4" fillId="3" borderId="0" xfId="0" applyFont="1" applyFill="1"/>
    <xf numFmtId="0" fontId="0" fillId="3" borderId="0" xfId="0" applyFill="1"/>
    <xf numFmtId="0" fontId="14" fillId="2" borderId="2" xfId="0" quotePrefix="1" applyFont="1" applyFill="1" applyBorder="1" applyAlignment="1">
      <alignment horizontal="left" vertical="center" wrapText="1"/>
    </xf>
    <xf numFmtId="14" fontId="0" fillId="3" borderId="0" xfId="0" applyNumberFormat="1" applyFill="1"/>
    <xf numFmtId="49" fontId="7" fillId="4" borderId="6" xfId="0" applyNumberFormat="1" applyFont="1" applyFill="1" applyBorder="1" applyAlignment="1">
      <alignment horizontal="center" vertical="center" wrapText="1"/>
    </xf>
    <xf numFmtId="3" fontId="0" fillId="5" borderId="0" xfId="0" applyNumberFormat="1" applyFill="1"/>
    <xf numFmtId="0" fontId="4" fillId="5" borderId="0" xfId="1" applyFill="1"/>
    <xf numFmtId="0" fontId="20" fillId="5" borderId="7" xfId="1" applyFont="1" applyFill="1" applyBorder="1"/>
    <xf numFmtId="0" fontId="4" fillId="5" borderId="11" xfId="1" applyFill="1" applyBorder="1"/>
    <xf numFmtId="14" fontId="4" fillId="5" borderId="0" xfId="1" applyNumberFormat="1" applyFill="1"/>
    <xf numFmtId="0" fontId="20" fillId="5" borderId="11" xfId="1" applyFont="1" applyFill="1" applyBorder="1" applyAlignment="1">
      <alignment horizontal="left"/>
    </xf>
    <xf numFmtId="0" fontId="5" fillId="5" borderId="11" xfId="1" applyFont="1" applyFill="1" applyBorder="1" applyAlignment="1">
      <alignment horizontal="center"/>
    </xf>
    <xf numFmtId="0" fontId="5" fillId="5" borderId="8" xfId="1" applyFont="1" applyFill="1" applyBorder="1" applyAlignment="1">
      <alignment horizontal="center"/>
    </xf>
    <xf numFmtId="0" fontId="5" fillId="5" borderId="12" xfId="1" applyFont="1" applyFill="1" applyBorder="1" applyAlignment="1">
      <alignment horizontal="center"/>
    </xf>
    <xf numFmtId="0" fontId="20" fillId="5" borderId="12" xfId="1" applyFont="1" applyFill="1" applyBorder="1" applyAlignment="1">
      <alignment horizontal="left"/>
    </xf>
    <xf numFmtId="0" fontId="5" fillId="5" borderId="9" xfId="1" applyFont="1" applyFill="1" applyBorder="1" applyAlignment="1">
      <alignment horizontal="center"/>
    </xf>
    <xf numFmtId="0" fontId="4" fillId="5" borderId="4" xfId="1" applyFill="1" applyBorder="1" applyAlignment="1">
      <alignment wrapText="1"/>
    </xf>
    <xf numFmtId="0" fontId="4" fillId="5" borderId="4" xfId="1" applyFill="1" applyBorder="1" applyAlignment="1">
      <alignment horizontal="center" wrapText="1"/>
    </xf>
    <xf numFmtId="0" fontId="4" fillId="5" borderId="4" xfId="1" applyFill="1" applyBorder="1"/>
    <xf numFmtId="0" fontId="4" fillId="5" borderId="5" xfId="1" applyFill="1" applyBorder="1" applyAlignment="1">
      <alignment wrapText="1"/>
    </xf>
    <xf numFmtId="0" fontId="4" fillId="5" borderId="5" xfId="1" applyFill="1" applyBorder="1" applyAlignment="1">
      <alignment horizontal="center" wrapText="1"/>
    </xf>
    <xf numFmtId="0" fontId="17" fillId="5" borderId="6" xfId="1" applyFont="1" applyFill="1" applyBorder="1" applyAlignment="1">
      <alignment horizontal="center"/>
    </xf>
    <xf numFmtId="0" fontId="4" fillId="5" borderId="5" xfId="1" applyFill="1" applyBorder="1"/>
    <xf numFmtId="49" fontId="23" fillId="4" borderId="4" xfId="3" applyNumberFormat="1" applyFont="1" applyFill="1" applyBorder="1" applyAlignment="1">
      <alignment horizontal="center" vertical="center" wrapText="1"/>
    </xf>
    <xf numFmtId="0" fontId="4" fillId="4" borderId="6" xfId="1" applyFill="1" applyBorder="1" applyAlignment="1">
      <alignment horizontal="center" vertical="center"/>
    </xf>
    <xf numFmtId="0" fontId="17" fillId="4" borderId="13" xfId="1" applyFont="1" applyFill="1" applyBorder="1" applyAlignment="1">
      <alignment horizontal="left" vertical="center" wrapText="1"/>
    </xf>
    <xf numFmtId="0" fontId="17" fillId="5" borderId="6" xfId="1" applyFont="1" applyFill="1" applyBorder="1" applyAlignment="1">
      <alignment horizontal="left" vertical="center" wrapText="1"/>
    </xf>
    <xf numFmtId="0" fontId="17" fillId="3" borderId="6" xfId="1" applyFont="1" applyFill="1" applyBorder="1" applyAlignment="1">
      <alignment horizontal="left" vertical="center" wrapText="1"/>
    </xf>
    <xf numFmtId="0" fontId="17" fillId="4" borderId="6" xfId="1" applyFont="1" applyFill="1" applyBorder="1" applyAlignment="1">
      <alignment horizontal="left" vertical="center" wrapText="1"/>
    </xf>
    <xf numFmtId="0" fontId="24" fillId="4" borderId="4" xfId="1" applyFont="1" applyFill="1" applyBorder="1" applyAlignment="1">
      <alignment horizontal="center" vertical="center"/>
    </xf>
    <xf numFmtId="0" fontId="17" fillId="4" borderId="4" xfId="1" applyFont="1" applyFill="1" applyBorder="1" applyAlignment="1">
      <alignment horizontal="center" vertical="center"/>
    </xf>
    <xf numFmtId="49" fontId="17" fillId="4" borderId="4" xfId="1" applyNumberFormat="1" applyFont="1" applyFill="1" applyBorder="1" applyAlignment="1">
      <alignment horizontal="center" vertical="center"/>
    </xf>
    <xf numFmtId="0" fontId="17" fillId="4" borderId="3" xfId="1" applyFont="1" applyFill="1" applyBorder="1" applyAlignment="1">
      <alignment horizontal="left" vertical="center" wrapText="1"/>
    </xf>
    <xf numFmtId="0" fontId="17" fillId="4" borderId="6" xfId="1" applyFont="1" applyFill="1" applyBorder="1" applyAlignment="1">
      <alignment horizontal="center" vertical="center"/>
    </xf>
    <xf numFmtId="49" fontId="17" fillId="4" borderId="6" xfId="1" applyNumberFormat="1" applyFont="1" applyFill="1" applyBorder="1" applyAlignment="1">
      <alignment horizontal="center" vertical="center"/>
    </xf>
    <xf numFmtId="0" fontId="17" fillId="4" borderId="5" xfId="1" applyFont="1" applyFill="1" applyBorder="1" applyAlignment="1">
      <alignment horizontal="left" vertical="center" wrapText="1"/>
    </xf>
    <xf numFmtId="0" fontId="25" fillId="4" borderId="4" xfId="1" applyFont="1" applyFill="1" applyBorder="1" applyAlignment="1">
      <alignment horizontal="center" vertical="center"/>
    </xf>
    <xf numFmtId="49" fontId="16" fillId="4" borderId="6" xfId="1" applyNumberFormat="1" applyFont="1" applyFill="1" applyBorder="1" applyAlignment="1">
      <alignment horizontal="center" vertical="center"/>
    </xf>
    <xf numFmtId="0" fontId="17" fillId="4" borderId="3" xfId="1" quotePrefix="1" applyFont="1" applyFill="1" applyBorder="1" applyAlignment="1">
      <alignment horizontal="left" vertical="center" wrapText="1"/>
    </xf>
    <xf numFmtId="0" fontId="17" fillId="0" borderId="3" xfId="1" quotePrefix="1" applyFont="1" applyBorder="1" applyAlignment="1">
      <alignment horizontal="left" vertical="center" wrapText="1"/>
    </xf>
    <xf numFmtId="0" fontId="17" fillId="4" borderId="8" xfId="1" applyFont="1" applyFill="1" applyBorder="1" applyAlignment="1">
      <alignment horizontal="left" vertical="center" wrapText="1"/>
    </xf>
    <xf numFmtId="49" fontId="16" fillId="4" borderId="6" xfId="1" applyNumberFormat="1" applyFont="1" applyFill="1" applyBorder="1" applyAlignment="1">
      <alignment horizontal="center" vertical="center" wrapText="1"/>
    </xf>
    <xf numFmtId="49" fontId="21" fillId="4" borderId="6" xfId="1" applyNumberFormat="1" applyFont="1" applyFill="1" applyBorder="1" applyAlignment="1">
      <alignment horizontal="center" vertical="center" wrapText="1"/>
    </xf>
    <xf numFmtId="0" fontId="23" fillId="4" borderId="4" xfId="3" applyFont="1" applyFill="1" applyBorder="1" applyAlignment="1">
      <alignment horizontal="center" vertical="center" wrapText="1"/>
    </xf>
    <xf numFmtId="49" fontId="17" fillId="4" borderId="6" xfId="1" applyNumberFormat="1" applyFont="1" applyFill="1" applyBorder="1" applyAlignment="1">
      <alignment horizontal="center" vertical="center" wrapText="1"/>
    </xf>
    <xf numFmtId="0" fontId="4" fillId="5" borderId="0" xfId="1" applyFill="1" applyAlignment="1">
      <alignment horizontal="center"/>
    </xf>
    <xf numFmtId="0" fontId="17" fillId="5" borderId="0" xfId="1" applyFont="1" applyFill="1"/>
    <xf numFmtId="0" fontId="4" fillId="4" borderId="0" xfId="1" applyFill="1"/>
    <xf numFmtId="0" fontId="19" fillId="5" borderId="0" xfId="1" applyFont="1" applyFill="1"/>
    <xf numFmtId="0" fontId="16" fillId="5" borderId="0" xfId="1" applyFont="1" applyFill="1"/>
    <xf numFmtId="0" fontId="4" fillId="5" borderId="0" xfId="1" applyFill="1" applyAlignment="1">
      <alignment horizontal="left"/>
    </xf>
    <xf numFmtId="0" fontId="4" fillId="3" borderId="0" xfId="1" applyFill="1"/>
    <xf numFmtId="0" fontId="17" fillId="3" borderId="0" xfId="1" applyFont="1" applyFill="1" applyAlignment="1">
      <alignment horizontal="left" vertical="center"/>
    </xf>
    <xf numFmtId="0" fontId="17" fillId="5" borderId="0" xfId="1" applyFont="1" applyFill="1" applyAlignment="1">
      <alignment horizontal="left" vertical="center"/>
    </xf>
    <xf numFmtId="0" fontId="17" fillId="3" borderId="0" xfId="1" applyFont="1" applyFill="1"/>
    <xf numFmtId="49" fontId="23" fillId="4" borderId="6" xfId="3" applyNumberFormat="1" applyFont="1" applyFill="1" applyBorder="1" applyAlignment="1">
      <alignment horizontal="center" vertical="center" wrapText="1"/>
    </xf>
    <xf numFmtId="0" fontId="24" fillId="4" borderId="6" xfId="1" applyFont="1" applyFill="1" applyBorder="1" applyAlignment="1">
      <alignment horizontal="center" vertical="center"/>
    </xf>
    <xf numFmtId="0" fontId="25" fillId="4" borderId="6" xfId="1" applyFont="1" applyFill="1" applyBorder="1" applyAlignment="1">
      <alignment horizontal="center" vertical="center"/>
    </xf>
    <xf numFmtId="0" fontId="18" fillId="5" borderId="6" xfId="2" applyFont="1" applyFill="1" applyBorder="1" applyAlignment="1">
      <alignment horizontal="center" vertical="center"/>
    </xf>
    <xf numFmtId="0" fontId="26" fillId="0" borderId="6" xfId="0" applyFont="1" applyBorder="1" applyAlignment="1">
      <alignment vertical="center"/>
    </xf>
    <xf numFmtId="0" fontId="0" fillId="0" borderId="6" xfId="0" applyBorder="1" applyAlignment="1">
      <alignment wrapText="1"/>
    </xf>
    <xf numFmtId="0" fontId="0" fillId="0" borderId="6" xfId="0" applyBorder="1"/>
    <xf numFmtId="0" fontId="28" fillId="0" borderId="0" xfId="4"/>
    <xf numFmtId="0" fontId="0" fillId="3" borderId="10" xfId="0" applyFill="1" applyBorder="1" applyAlignment="1">
      <alignment horizontal="left" wrapText="1"/>
    </xf>
    <xf numFmtId="0" fontId="0" fillId="3" borderId="12" xfId="0" applyFill="1" applyBorder="1" applyAlignment="1">
      <alignment horizontal="left" wrapText="1"/>
    </xf>
    <xf numFmtId="0" fontId="0" fillId="3" borderId="9" xfId="0" applyFill="1" applyBorder="1" applyAlignment="1">
      <alignment horizontal="left" wrapText="1"/>
    </xf>
    <xf numFmtId="0" fontId="20" fillId="2" borderId="2" xfId="0" applyFont="1" applyFill="1" applyBorder="1" applyAlignment="1">
      <alignment horizontal="center"/>
    </xf>
    <xf numFmtId="0" fontId="0" fillId="3" borderId="7" xfId="0" applyFill="1" applyBorder="1" applyAlignment="1">
      <alignment horizontal="left"/>
    </xf>
    <xf numFmtId="0" fontId="0" fillId="3" borderId="11" xfId="0" applyFill="1" applyBorder="1" applyAlignment="1">
      <alignment horizontal="left"/>
    </xf>
    <xf numFmtId="0" fontId="0" fillId="3" borderId="8" xfId="0" applyFill="1" applyBorder="1" applyAlignment="1">
      <alignment horizontal="left"/>
    </xf>
    <xf numFmtId="0" fontId="0" fillId="3" borderId="7" xfId="0" applyFill="1" applyBorder="1" applyAlignment="1">
      <alignment horizontal="left" wrapText="1"/>
    </xf>
    <xf numFmtId="0" fontId="0" fillId="3" borderId="11" xfId="0" applyFill="1" applyBorder="1" applyAlignment="1">
      <alignment horizontal="left" wrapText="1"/>
    </xf>
    <xf numFmtId="0" fontId="0" fillId="3" borderId="8" xfId="0" applyFill="1" applyBorder="1" applyAlignment="1">
      <alignment horizontal="left" wrapText="1"/>
    </xf>
    <xf numFmtId="0" fontId="10" fillId="2" borderId="2" xfId="0" applyFont="1" applyFill="1" applyBorder="1" applyAlignment="1">
      <alignment horizontal="center" wrapText="1"/>
    </xf>
    <xf numFmtId="0" fontId="10" fillId="2" borderId="3" xfId="0" applyFont="1" applyFill="1" applyBorder="1" applyAlignment="1">
      <alignment horizontal="center" wrapText="1"/>
    </xf>
    <xf numFmtId="0" fontId="9" fillId="0" borderId="1" xfId="0" applyFont="1" applyBorder="1" applyAlignment="1">
      <alignment horizontal="center" vertical="center" wrapText="1"/>
    </xf>
    <xf numFmtId="0" fontId="9" fillId="0" borderId="3" xfId="0" applyFont="1" applyBorder="1" applyAlignment="1">
      <alignment horizontal="center" vertical="center" wrapText="1"/>
    </xf>
    <xf numFmtId="0" fontId="9" fillId="0" borderId="1" xfId="0" quotePrefix="1" applyFont="1" applyBorder="1" applyAlignment="1">
      <alignment horizontal="center" vertical="center" wrapText="1"/>
    </xf>
    <xf numFmtId="0" fontId="3" fillId="3"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9" fillId="0" borderId="1" xfId="0" applyFont="1" applyBorder="1" applyAlignment="1">
      <alignment vertical="center" wrapText="1"/>
    </xf>
    <xf numFmtId="0" fontId="9" fillId="0" borderId="3" xfId="0" applyFont="1" applyBorder="1" applyAlignment="1">
      <alignment vertical="center" wrapText="1"/>
    </xf>
    <xf numFmtId="0" fontId="9" fillId="4" borderId="1" xfId="0" quotePrefix="1" applyFont="1" applyFill="1" applyBorder="1" applyAlignment="1">
      <alignment vertical="center" wrapText="1"/>
    </xf>
    <xf numFmtId="0" fontId="9" fillId="4" borderId="3" xfId="0" applyFont="1" applyFill="1" applyBorder="1" applyAlignment="1">
      <alignment vertical="center" wrapText="1"/>
    </xf>
    <xf numFmtId="0" fontId="9" fillId="0" borderId="1" xfId="0" quotePrefix="1" applyFont="1" applyBorder="1" applyAlignment="1">
      <alignment horizontal="left" vertical="center" wrapText="1"/>
    </xf>
    <xf numFmtId="0" fontId="0" fillId="3" borderId="0" xfId="0" applyFill="1" applyAlignment="1">
      <alignment horizontal="left"/>
    </xf>
    <xf numFmtId="49" fontId="6" fillId="2" borderId="1" xfId="0" quotePrefix="1" applyNumberFormat="1" applyFont="1" applyFill="1" applyBorder="1" applyAlignment="1">
      <alignment horizontal="left" vertical="center" wrapText="1"/>
    </xf>
    <xf numFmtId="49" fontId="6" fillId="2" borderId="2" xfId="0" applyNumberFormat="1" applyFont="1" applyFill="1" applyBorder="1" applyAlignment="1">
      <alignment horizontal="left" vertical="center" wrapText="1"/>
    </xf>
    <xf numFmtId="0" fontId="6" fillId="2" borderId="2" xfId="0" quotePrefix="1" applyFont="1" applyFill="1" applyBorder="1" applyAlignment="1">
      <alignment horizontal="center" vertical="center"/>
    </xf>
    <xf numFmtId="0" fontId="6" fillId="2" borderId="2" xfId="0" applyFont="1" applyFill="1" applyBorder="1" applyAlignment="1">
      <alignment horizontal="center" vertical="center"/>
    </xf>
    <xf numFmtId="0" fontId="3" fillId="3" borderId="4"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9" fillId="0" borderId="3" xfId="0" quotePrefix="1" applyFont="1" applyBorder="1" applyAlignment="1">
      <alignment horizontal="center" vertical="center" wrapText="1"/>
    </xf>
    <xf numFmtId="0" fontId="9" fillId="0" borderId="1" xfId="0" applyFont="1" applyBorder="1" applyAlignment="1">
      <alignment horizontal="left" vertical="center" wrapText="1"/>
    </xf>
    <xf numFmtId="0" fontId="9" fillId="0" borderId="3" xfId="0" applyFont="1" applyBorder="1" applyAlignment="1">
      <alignment horizontal="left" vertical="center" wrapText="1"/>
    </xf>
    <xf numFmtId="0" fontId="9" fillId="4" borderId="1" xfId="0" quotePrefix="1" applyFont="1" applyFill="1" applyBorder="1" applyAlignment="1">
      <alignment horizontal="center" vertical="center" wrapText="1"/>
    </xf>
    <xf numFmtId="0" fontId="9" fillId="4" borderId="3" xfId="0" applyFont="1" applyFill="1" applyBorder="1" applyAlignment="1">
      <alignment horizontal="center" vertical="center" wrapText="1"/>
    </xf>
    <xf numFmtId="0" fontId="9" fillId="4" borderId="1" xfId="0" applyFont="1" applyFill="1" applyBorder="1" applyAlignment="1">
      <alignment vertical="center" wrapText="1"/>
    </xf>
    <xf numFmtId="49" fontId="3" fillId="3" borderId="4" xfId="0" applyNumberFormat="1" applyFont="1" applyFill="1" applyBorder="1" applyAlignment="1">
      <alignment horizontal="center" vertical="center" wrapText="1"/>
    </xf>
    <xf numFmtId="49" fontId="3" fillId="3" borderId="5" xfId="0" applyNumberFormat="1" applyFont="1" applyFill="1" applyBorder="1" applyAlignment="1">
      <alignment horizontal="center" vertical="center" wrapText="1"/>
    </xf>
    <xf numFmtId="0" fontId="6" fillId="3" borderId="4"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12" fillId="3" borderId="4" xfId="0" applyFont="1" applyFill="1" applyBorder="1" applyAlignment="1">
      <alignment horizontal="center" vertical="center" wrapText="1"/>
    </xf>
    <xf numFmtId="0" fontId="12" fillId="3" borderId="5" xfId="0" applyFont="1" applyFill="1" applyBorder="1" applyAlignment="1">
      <alignment horizontal="center" vertical="center" wrapText="1"/>
    </xf>
    <xf numFmtId="0" fontId="7" fillId="0" borderId="1" xfId="0" applyFont="1" applyBorder="1" applyAlignment="1">
      <alignment vertical="center" wrapText="1"/>
    </xf>
    <xf numFmtId="0" fontId="7" fillId="0" borderId="3" xfId="0" applyFont="1" applyBorder="1" applyAlignment="1">
      <alignment vertical="center" wrapText="1"/>
    </xf>
    <xf numFmtId="0" fontId="9" fillId="0" borderId="3" xfId="0" quotePrefix="1" applyFont="1" applyBorder="1" applyAlignment="1">
      <alignment horizontal="left" vertical="center" wrapText="1"/>
    </xf>
    <xf numFmtId="0" fontId="2" fillId="0" borderId="0" xfId="0" applyFont="1" applyAlignment="1">
      <alignment horizontal="center" vertical="center" wrapText="1"/>
    </xf>
    <xf numFmtId="0" fontId="13" fillId="3" borderId="7" xfId="0" applyFont="1" applyFill="1" applyBorder="1" applyAlignment="1">
      <alignment horizontal="center" vertical="center"/>
    </xf>
    <xf numFmtId="0" fontId="13" fillId="3" borderId="8" xfId="0" applyFont="1" applyFill="1" applyBorder="1" applyAlignment="1">
      <alignment horizontal="center" vertical="center"/>
    </xf>
    <xf numFmtId="0" fontId="13" fillId="3" borderId="10" xfId="0" applyFont="1" applyFill="1" applyBorder="1" applyAlignment="1">
      <alignment horizontal="center" vertical="center"/>
    </xf>
    <xf numFmtId="0" fontId="13" fillId="3" borderId="9" xfId="0" applyFont="1" applyFill="1" applyBorder="1" applyAlignment="1">
      <alignment horizontal="center" vertical="center"/>
    </xf>
    <xf numFmtId="0" fontId="24" fillId="4" borderId="6" xfId="1" applyFont="1" applyFill="1" applyBorder="1" applyAlignment="1">
      <alignment horizontal="center" vertical="center"/>
    </xf>
    <xf numFmtId="49" fontId="23" fillId="4" borderId="6" xfId="3" applyNumberFormat="1" applyFont="1" applyFill="1" applyBorder="1" applyAlignment="1">
      <alignment horizontal="center" vertical="center" wrapText="1"/>
    </xf>
    <xf numFmtId="0" fontId="17" fillId="4" borderId="6" xfId="1" applyFont="1" applyFill="1" applyBorder="1" applyAlignment="1">
      <alignment horizontal="center" vertical="center" wrapText="1"/>
    </xf>
    <xf numFmtId="0" fontId="17" fillId="5" borderId="6" xfId="1" applyFont="1" applyFill="1" applyBorder="1" applyAlignment="1">
      <alignment horizontal="center" vertical="center" wrapText="1"/>
    </xf>
    <xf numFmtId="0" fontId="17" fillId="3" borderId="4" xfId="1" applyFont="1" applyFill="1" applyBorder="1" applyAlignment="1">
      <alignment horizontal="center" vertical="center" wrapText="1"/>
    </xf>
    <xf numFmtId="0" fontId="17" fillId="3" borderId="14" xfId="1" applyFont="1" applyFill="1" applyBorder="1" applyAlignment="1">
      <alignment horizontal="center" vertical="center" wrapText="1"/>
    </xf>
    <xf numFmtId="0" fontId="4" fillId="3" borderId="0" xfId="1" applyFill="1" applyAlignment="1">
      <alignment horizontal="left"/>
    </xf>
    <xf numFmtId="0" fontId="4" fillId="3" borderId="0" xfId="1" applyFill="1" applyAlignment="1">
      <alignment horizontal="left" wrapText="1"/>
    </xf>
    <xf numFmtId="0" fontId="4" fillId="5" borderId="0" xfId="1" applyFill="1" applyAlignment="1">
      <alignment horizontal="center"/>
    </xf>
    <xf numFmtId="0" fontId="4" fillId="3" borderId="0" xfId="1" applyFill="1" applyAlignment="1">
      <alignment horizontal="center"/>
    </xf>
    <xf numFmtId="49" fontId="6" fillId="2" borderId="10" xfId="0" quotePrefix="1" applyNumberFormat="1" applyFont="1" applyFill="1" applyBorder="1" applyAlignment="1">
      <alignment horizontal="left" vertical="center" wrapText="1"/>
    </xf>
    <xf numFmtId="49" fontId="6" fillId="2" borderId="12" xfId="0" quotePrefix="1" applyNumberFormat="1" applyFont="1" applyFill="1" applyBorder="1" applyAlignment="1">
      <alignment horizontal="left" vertical="center" wrapText="1"/>
    </xf>
    <xf numFmtId="0" fontId="5" fillId="5" borderId="1" xfId="1" applyFont="1" applyFill="1" applyBorder="1" applyAlignment="1">
      <alignment horizontal="center"/>
    </xf>
    <xf numFmtId="0" fontId="5" fillId="5" borderId="2" xfId="1" applyFont="1" applyFill="1" applyBorder="1" applyAlignment="1">
      <alignment horizontal="center"/>
    </xf>
    <xf numFmtId="0" fontId="5" fillId="5" borderId="3" xfId="1" applyFont="1" applyFill="1" applyBorder="1" applyAlignment="1">
      <alignment horizontal="center"/>
    </xf>
    <xf numFmtId="0" fontId="4" fillId="5" borderId="4" xfId="1" applyFill="1" applyBorder="1" applyAlignment="1">
      <alignment horizontal="left" vertical="center" wrapText="1"/>
    </xf>
    <xf numFmtId="0" fontId="4" fillId="5" borderId="5" xfId="1" applyFill="1" applyBorder="1" applyAlignment="1">
      <alignment horizontal="left" vertical="center" wrapText="1"/>
    </xf>
    <xf numFmtId="0" fontId="4" fillId="5" borderId="4" xfId="1" applyFill="1" applyBorder="1" applyAlignment="1">
      <alignment horizontal="center" vertical="center" wrapText="1"/>
    </xf>
    <xf numFmtId="0" fontId="4" fillId="0" borderId="5" xfId="1" applyBorder="1" applyAlignment="1">
      <alignment horizontal="center" vertical="center" wrapText="1"/>
    </xf>
    <xf numFmtId="0" fontId="4" fillId="3" borderId="4" xfId="1" applyFill="1" applyBorder="1" applyAlignment="1">
      <alignment horizontal="center" vertical="center" wrapText="1"/>
    </xf>
    <xf numFmtId="0" fontId="4" fillId="3" borderId="5" xfId="1" applyFill="1" applyBorder="1" applyAlignment="1">
      <alignment horizontal="center" vertical="center" wrapText="1"/>
    </xf>
    <xf numFmtId="0" fontId="4" fillId="5" borderId="4" xfId="1" applyFill="1" applyBorder="1" applyAlignment="1">
      <alignment horizontal="center" vertical="center"/>
    </xf>
    <xf numFmtId="0" fontId="4" fillId="5" borderId="5" xfId="1" applyFill="1" applyBorder="1" applyAlignment="1">
      <alignment horizontal="center" vertical="center"/>
    </xf>
    <xf numFmtId="0" fontId="4" fillId="5" borderId="1" xfId="1" applyFill="1" applyBorder="1" applyAlignment="1">
      <alignment horizontal="center"/>
    </xf>
    <xf numFmtId="0" fontId="4" fillId="5" borderId="2" xfId="1" applyFill="1" applyBorder="1" applyAlignment="1">
      <alignment horizontal="center"/>
    </xf>
    <xf numFmtId="0" fontId="4" fillId="5" borderId="3" xfId="1" applyFill="1" applyBorder="1" applyAlignment="1">
      <alignment horizontal="center"/>
    </xf>
    <xf numFmtId="0" fontId="17" fillId="3" borderId="6" xfId="1" applyFont="1" applyFill="1" applyBorder="1" applyAlignment="1">
      <alignment horizontal="center" vertical="center" wrapText="1"/>
    </xf>
  </cellXfs>
  <cellStyles count="5">
    <cellStyle name="Köprü" xfId="4" builtinId="8"/>
    <cellStyle name="Normal" xfId="0" builtinId="0"/>
    <cellStyle name="Normal 2" xfId="1" xr:uid="{00000000-0005-0000-0000-000001000000}"/>
    <cellStyle name="Normal 3" xfId="2" xr:uid="{00000000-0005-0000-0000-000002000000}"/>
    <cellStyle name="Normal_F 45.05  İSG Soru Listesi" xfId="3" xr:uid="{CBFE97C8-7DCA-4DAC-A1F3-736865AF668D}"/>
  </cellStyles>
  <dxfs count="1">
    <dxf>
      <fill>
        <patternFill>
          <bgColor theme="0" tint="-0.34998626667073579"/>
        </patternFill>
      </fill>
    </dxf>
  </dxfs>
  <tableStyles count="0" defaultTableStyle="TableStyleMedium2" defaultPivotStyle="PivotStyleMedium9"/>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pageSetUpPr fitToPage="1"/>
  </sheetPr>
  <dimension ref="B1:O77"/>
  <sheetViews>
    <sheetView showGridLines="0" zoomScaleNormal="100" workbookViewId="0">
      <pane ySplit="6" topLeftCell="A7" activePane="bottomLeft" state="frozen"/>
      <selection pane="bottomLeft" activeCell="I13" sqref="I13:J13"/>
    </sheetView>
  </sheetViews>
  <sheetFormatPr defaultColWidth="9.109375" defaultRowHeight="13.8" x14ac:dyDescent="0.25"/>
  <cols>
    <col min="1" max="1" width="3.44140625" style="1" customWidth="1"/>
    <col min="2" max="2" width="4" style="9" customWidth="1"/>
    <col min="3" max="3" width="5.109375" style="1" customWidth="1"/>
    <col min="4" max="4" width="71.33203125" style="1" customWidth="1"/>
    <col min="5" max="5" width="6.109375" style="1" customWidth="1"/>
    <col min="6" max="6" width="5.44140625" style="1" customWidth="1"/>
    <col min="7" max="7" width="5.5546875" style="11" customWidth="1"/>
    <col min="8" max="8" width="10.5546875" style="11" customWidth="1"/>
    <col min="9" max="9" width="13.6640625" style="35" customWidth="1"/>
    <col min="10" max="10" width="31.6640625" style="35" customWidth="1"/>
    <col min="11" max="14" width="5.109375" style="1" customWidth="1"/>
    <col min="15" max="15" width="7" style="1" customWidth="1"/>
    <col min="16" max="16384" width="9.109375" style="1"/>
  </cols>
  <sheetData>
    <row r="1" spans="2:15" ht="6.75" customHeight="1" x14ac:dyDescent="0.25"/>
    <row r="2" spans="2:15" ht="21" x14ac:dyDescent="0.4">
      <c r="C2" s="16" t="s">
        <v>0</v>
      </c>
      <c r="D2" s="16"/>
      <c r="E2" s="17"/>
      <c r="F2" s="17"/>
      <c r="G2" s="145" t="s">
        <v>35</v>
      </c>
      <c r="H2" s="146"/>
      <c r="I2" s="36" t="s">
        <v>101</v>
      </c>
      <c r="J2" s="37"/>
      <c r="K2" s="17"/>
      <c r="L2" s="17"/>
      <c r="M2" s="17"/>
      <c r="N2" s="17"/>
      <c r="O2" s="18"/>
    </row>
    <row r="3" spans="2:15" ht="21" x14ac:dyDescent="0.4">
      <c r="C3" s="39" t="s">
        <v>460</v>
      </c>
      <c r="D3" s="13"/>
      <c r="E3" s="14"/>
      <c r="F3" s="14"/>
      <c r="G3" s="2" t="s">
        <v>113</v>
      </c>
      <c r="H3" s="2"/>
      <c r="I3" s="41" t="s">
        <v>115</v>
      </c>
      <c r="J3" s="2" t="s">
        <v>114</v>
      </c>
      <c r="K3" s="122" t="s">
        <v>116</v>
      </c>
      <c r="L3" s="122"/>
      <c r="M3" s="122"/>
      <c r="N3" s="122"/>
      <c r="O3" s="15"/>
    </row>
    <row r="4" spans="2:15" ht="60" customHeight="1" x14ac:dyDescent="0.25">
      <c r="C4" s="143" t="s">
        <v>102</v>
      </c>
      <c r="D4" s="144"/>
      <c r="E4" s="27"/>
      <c r="F4" s="27"/>
      <c r="G4" s="2" t="s">
        <v>34</v>
      </c>
      <c r="H4" s="2"/>
      <c r="I4" s="58" t="s">
        <v>507</v>
      </c>
      <c r="J4" s="38"/>
      <c r="K4" s="129" t="s">
        <v>84</v>
      </c>
      <c r="L4" s="129"/>
      <c r="M4" s="129" t="s">
        <v>83</v>
      </c>
      <c r="N4" s="129"/>
      <c r="O4" s="130"/>
    </row>
    <row r="5" spans="2:15" ht="15" customHeight="1" x14ac:dyDescent="0.25">
      <c r="B5" s="164" t="s">
        <v>11</v>
      </c>
      <c r="C5" s="157" t="s">
        <v>8</v>
      </c>
      <c r="D5" s="147" t="s">
        <v>38</v>
      </c>
      <c r="E5" s="159" t="s">
        <v>39</v>
      </c>
      <c r="F5" s="147" t="s">
        <v>36</v>
      </c>
      <c r="G5" s="155" t="s">
        <v>7</v>
      </c>
      <c r="H5" s="155" t="s">
        <v>33</v>
      </c>
      <c r="I5" s="165" t="s">
        <v>1</v>
      </c>
      <c r="J5" s="166"/>
      <c r="K5" s="134" t="s">
        <v>2</v>
      </c>
      <c r="L5" s="135"/>
      <c r="M5" s="135"/>
      <c r="N5" s="136"/>
      <c r="O5" s="3" t="s">
        <v>9</v>
      </c>
    </row>
    <row r="6" spans="2:15" ht="15" customHeight="1" x14ac:dyDescent="0.25">
      <c r="B6" s="164"/>
      <c r="C6" s="158"/>
      <c r="D6" s="148"/>
      <c r="E6" s="160"/>
      <c r="F6" s="148"/>
      <c r="G6" s="156"/>
      <c r="H6" s="156"/>
      <c r="I6" s="167"/>
      <c r="J6" s="168"/>
      <c r="K6" s="4" t="s">
        <v>3</v>
      </c>
      <c r="L6" s="4" t="s">
        <v>4</v>
      </c>
      <c r="M6" s="4" t="s">
        <v>5</v>
      </c>
      <c r="N6" s="4" t="s">
        <v>6</v>
      </c>
      <c r="O6" s="5" t="s">
        <v>10</v>
      </c>
    </row>
    <row r="7" spans="2:15" ht="52.8" x14ac:dyDescent="0.25">
      <c r="B7" s="10">
        <v>1</v>
      </c>
      <c r="C7" s="6">
        <v>1</v>
      </c>
      <c r="D7" s="7" t="str">
        <f>I2&amp; " süreci;"&amp; "girdi prosesleri, girdileri, çıktıları, çıktı prosesleri, işlemleri, işlemlerin yürütülme şekli, organizasyonu, altyapısı, riskleri, olası değişiklikleri, iyileştirme için performans parametreleri tanımlanmış mıdır? DOKÜMANTE BİLGİ (4.4.1)"</f>
        <v>D2 İNSAN KAYNAKLARI YÖNETİMİ süreci;girdi prosesleri, girdileri, çıktıları, çıktı prosesleri, işlemleri, işlemlerin yürütülme şekli, organizasyonu, altyapısı, riskleri, olası değişiklikleri, iyileştirme için performans parametreleri tanımlanmış mıdır? DOKÜMANTE BİLGİ (4.4.1)</v>
      </c>
      <c r="E7" s="7"/>
      <c r="F7" s="24"/>
      <c r="G7" s="12" t="s">
        <v>12</v>
      </c>
      <c r="H7" s="23" t="str">
        <f t="shared" ref="H7:H12" si="0">$I$4</f>
        <v>Bayram Çumbul</v>
      </c>
      <c r="I7" s="133" t="s">
        <v>103</v>
      </c>
      <c r="J7" s="132"/>
      <c r="K7" s="42" t="s">
        <v>82</v>
      </c>
      <c r="L7" s="8"/>
      <c r="M7" s="8"/>
      <c r="N7" s="8"/>
      <c r="O7" s="8"/>
    </row>
    <row r="8" spans="2:15" ht="26.4" x14ac:dyDescent="0.25">
      <c r="B8" s="9">
        <v>1</v>
      </c>
      <c r="C8" s="6">
        <v>2</v>
      </c>
      <c r="D8" s="7" t="str">
        <f>I2&amp; " süreci;"&amp; " için risk ve fırsatları belirleme faaliyetleri gerçekleştirilmekte midir?"</f>
        <v>D2 İNSAN KAYNAKLARI YÖNETİMİ süreci; için risk ve fırsatları belirleme faaliyetleri gerçekleştirilmekte midir?</v>
      </c>
      <c r="E8" s="7"/>
      <c r="F8" s="24"/>
      <c r="G8" s="12" t="s">
        <v>14</v>
      </c>
      <c r="H8" s="23" t="str">
        <f t="shared" si="0"/>
        <v>Bayram Çumbul</v>
      </c>
      <c r="I8" s="131" t="s">
        <v>464</v>
      </c>
      <c r="J8" s="132"/>
      <c r="K8" s="42" t="s">
        <v>82</v>
      </c>
      <c r="L8" s="8"/>
      <c r="M8" s="8"/>
      <c r="N8" s="8"/>
      <c r="O8" s="8"/>
    </row>
    <row r="9" spans="2:15" ht="26.4" x14ac:dyDescent="0.25">
      <c r="B9" s="9">
        <v>1</v>
      </c>
      <c r="C9" s="6">
        <v>3</v>
      </c>
      <c r="D9" s="7" t="str">
        <f>I2&amp; " süreci;"&amp; " için amaçlar ve bu amaçlara ulaşmak için aksiyonlar belirlenmiş midir? DOKÜMANTE BİLGİ (6.2.1)"</f>
        <v>D2 İNSAN KAYNAKLARI YÖNETİMİ süreci; için amaçlar ve bu amaçlara ulaşmak için aksiyonlar belirlenmiş midir? DOKÜMANTE BİLGİ (6.2.1)</v>
      </c>
      <c r="E9" s="7"/>
      <c r="F9" s="24"/>
      <c r="G9" s="12" t="s">
        <v>13</v>
      </c>
      <c r="H9" s="23" t="str">
        <f t="shared" si="0"/>
        <v>Bayram Çumbul</v>
      </c>
      <c r="I9" s="131" t="s">
        <v>465</v>
      </c>
      <c r="J9" s="132"/>
      <c r="K9" s="42" t="s">
        <v>82</v>
      </c>
      <c r="L9" s="8"/>
      <c r="M9" s="8"/>
      <c r="N9" s="8"/>
      <c r="O9" s="8"/>
    </row>
    <row r="10" spans="2:15" ht="26.4" x14ac:dyDescent="0.25">
      <c r="B10" s="9">
        <v>1</v>
      </c>
      <c r="C10" s="6">
        <v>4</v>
      </c>
      <c r="D10" s="7" t="str">
        <f>I2&amp; " süreci;"&amp; " için sistematik olarak değişiklikler belirleniyor mu?"</f>
        <v>D2 İNSAN KAYNAKLARI YÖNETİMİ süreci; için sistematik olarak değişiklikler belirleniyor mu?</v>
      </c>
      <c r="E10" s="7"/>
      <c r="F10" s="24"/>
      <c r="G10" s="12" t="s">
        <v>15</v>
      </c>
      <c r="H10" s="23" t="str">
        <f t="shared" si="0"/>
        <v>Bayram Çumbul</v>
      </c>
      <c r="I10" s="131" t="s">
        <v>512</v>
      </c>
      <c r="J10" s="132"/>
      <c r="K10" s="42" t="s">
        <v>82</v>
      </c>
      <c r="L10" s="8"/>
      <c r="M10" s="8"/>
      <c r="N10" s="8"/>
      <c r="O10" s="8"/>
    </row>
    <row r="11" spans="2:15" ht="26.4" x14ac:dyDescent="0.25">
      <c r="B11" s="9">
        <v>1</v>
      </c>
      <c r="C11" s="6">
        <v>5</v>
      </c>
      <c r="D11" s="7" t="str">
        <f>I2&amp; " süreci;"&amp; " etkili bir iletişim planı var mıdır, bu plana göre etkili iletişimler gerçekleştirilmekte midir"</f>
        <v>D2 İNSAN KAYNAKLARI YÖNETİMİ süreci; etkili bir iletişim planı var mıdır, bu plana göre etkili iletişimler gerçekleştirilmekte midir</v>
      </c>
      <c r="E11" s="7"/>
      <c r="F11" s="24"/>
      <c r="G11" s="12" t="s">
        <v>20</v>
      </c>
      <c r="H11" s="23" t="str">
        <f t="shared" si="0"/>
        <v>Bayram Çumbul</v>
      </c>
      <c r="I11" s="133" t="s">
        <v>466</v>
      </c>
      <c r="J11" s="132"/>
      <c r="K11" s="42" t="s">
        <v>82</v>
      </c>
      <c r="L11" s="8"/>
      <c r="M11" s="8"/>
      <c r="N11" s="8"/>
      <c r="O11" s="8"/>
    </row>
    <row r="12" spans="2:15" ht="40.799999999999997" customHeight="1" x14ac:dyDescent="0.25">
      <c r="B12" s="9">
        <v>1</v>
      </c>
      <c r="C12" s="6">
        <v>6</v>
      </c>
      <c r="D12" s="7" t="str">
        <f>I2&amp; " süreci;"&amp; " iç tetkikleri, iç tetkik posedürüne uygun olarak olarak gerçekleştiriliyor mu, tetkik sonuçları iyileştirme faaliyetleri için girdi olarak kullanılıyor mu? DOKÜMANTE BİLGİ (9.2.2.f)"</f>
        <v>D2 İNSAN KAYNAKLARI YÖNETİMİ süreci; iç tetkikleri, iç tetkik posedürüne uygun olarak olarak gerçekleştiriliyor mu, tetkik sonuçları iyileştirme faaliyetleri için girdi olarak kullanılıyor mu? DOKÜMANTE BİLGİ (9.2.2.f)</v>
      </c>
      <c r="E12" s="7"/>
      <c r="F12" s="24"/>
      <c r="G12" s="12" t="s">
        <v>16</v>
      </c>
      <c r="H12" s="23" t="str">
        <f t="shared" si="0"/>
        <v>Bayram Çumbul</v>
      </c>
      <c r="I12" s="139" t="s">
        <v>514</v>
      </c>
      <c r="J12" s="140"/>
      <c r="K12" s="42" t="s">
        <v>82</v>
      </c>
      <c r="L12" s="8"/>
      <c r="M12" s="8"/>
      <c r="N12" s="8"/>
      <c r="O12" s="8"/>
    </row>
    <row r="13" spans="2:15" ht="45.6" customHeight="1" x14ac:dyDescent="0.25">
      <c r="B13" s="9">
        <v>1</v>
      </c>
      <c r="C13" s="6">
        <v>7</v>
      </c>
      <c r="D13" s="7" t="str">
        <f>I2&amp; " süreci "&amp;  "belirlenen aralıklarda gözden geçiriliyor mu? DOKÜMANTE BİLGİ (9.3.3)"</f>
        <v>D2 İNSAN KAYNAKLARI YÖNETİMİ süreci belirlenen aralıklarda gözden geçiriliyor mu? DOKÜMANTE BİLGİ (9.3.3)</v>
      </c>
      <c r="E13" s="7"/>
      <c r="F13" s="24"/>
      <c r="G13" s="12" t="s">
        <v>17</v>
      </c>
      <c r="H13" s="23" t="str">
        <f t="shared" ref="H13:H33" si="1">$I$4</f>
        <v>Bayram Çumbul</v>
      </c>
      <c r="I13" s="141" t="s">
        <v>467</v>
      </c>
      <c r="J13" s="138"/>
      <c r="K13" s="42" t="s">
        <v>82</v>
      </c>
      <c r="L13" s="8"/>
      <c r="M13" s="8"/>
      <c r="N13" s="8"/>
      <c r="O13" s="8"/>
    </row>
    <row r="14" spans="2:15" ht="57.75" customHeight="1" x14ac:dyDescent="0.25">
      <c r="B14" s="9">
        <v>1</v>
      </c>
      <c r="C14" s="6">
        <v>8</v>
      </c>
      <c r="D14" s="7" t="str">
        <f>I2&amp; " süreci "&amp; " ile ilgili uygunsuzlar için etkili düzeltici faaliyetler gerçekleştiriliyor mu? DOKÜMANTE BİLGİ (10.2.2)"</f>
        <v>D2 İNSAN KAYNAKLARI YÖNETİMİ süreci  ile ilgili uygunsuzlar için etkili düzeltici faaliyetler gerçekleştiriliyor mu? DOKÜMANTE BİLGİ (10.2.2)</v>
      </c>
      <c r="E14" s="7"/>
      <c r="F14" s="24"/>
      <c r="G14" s="12" t="s">
        <v>18</v>
      </c>
      <c r="H14" s="23" t="str">
        <f t="shared" si="1"/>
        <v>Bayram Çumbul</v>
      </c>
      <c r="I14" s="137" t="s">
        <v>513</v>
      </c>
      <c r="J14" s="138"/>
      <c r="K14" s="42" t="s">
        <v>82</v>
      </c>
      <c r="L14" s="8"/>
      <c r="M14" s="34"/>
      <c r="N14" s="8"/>
      <c r="O14" s="8"/>
    </row>
    <row r="15" spans="2:15" ht="40.799999999999997" customHeight="1" x14ac:dyDescent="0.25">
      <c r="B15" s="9">
        <v>1</v>
      </c>
      <c r="C15" s="6">
        <v>9</v>
      </c>
      <c r="D15" s="7" t="str">
        <f>I2&amp; " süreci, "&amp;  "analiz ve değerlendirmenin sonuçlarını, yönetimin gözden geçirmesi çıktılarını iyileştirme faaliyetlerini belirlemek için kullanmakta mıdır?"</f>
        <v>D2 İNSAN KAYNAKLARI YÖNETİMİ süreci, analiz ve değerlendirmenin sonuçlarını, yönetimin gözden geçirmesi çıktılarını iyileştirme faaliyetlerini belirlemek için kullanmakta mıdır?</v>
      </c>
      <c r="E15" s="7"/>
      <c r="F15" s="24"/>
      <c r="G15" s="12" t="s">
        <v>19</v>
      </c>
      <c r="H15" s="23" t="str">
        <f t="shared" si="1"/>
        <v>Bayram Çumbul</v>
      </c>
      <c r="I15" s="137" t="s">
        <v>81</v>
      </c>
      <c r="J15" s="138"/>
      <c r="K15" s="42" t="s">
        <v>82</v>
      </c>
      <c r="L15" s="8"/>
      <c r="M15" s="8"/>
      <c r="N15" s="8"/>
      <c r="O15" s="8"/>
    </row>
    <row r="16" spans="2:15" ht="40.799999999999997" customHeight="1" x14ac:dyDescent="0.25">
      <c r="B16" s="9">
        <v>2</v>
      </c>
      <c r="C16" s="6">
        <v>10</v>
      </c>
      <c r="D16" s="7" t="str">
        <f>I2&amp; " sürecinin; "&amp;  "altyapısı için ihtiyaçları belirlenmiş, sağlanmış mıdır, prosese ait altyapının bakımları gerçekleştirilmekte midir?"</f>
        <v>D2 İNSAN KAYNAKLARI YÖNETİMİ sürecinin; altyapısı için ihtiyaçları belirlenmiş, sağlanmış mıdır, prosese ait altyapının bakımları gerçekleştirilmekte midir?</v>
      </c>
      <c r="E16" s="7"/>
      <c r="F16" s="24"/>
      <c r="G16" s="12" t="s">
        <v>21</v>
      </c>
      <c r="H16" s="23" t="str">
        <f t="shared" si="1"/>
        <v>Bayram Çumbul</v>
      </c>
      <c r="I16" s="161"/>
      <c r="J16" s="162"/>
      <c r="K16" s="42" t="s">
        <v>82</v>
      </c>
      <c r="L16" s="8"/>
      <c r="M16" s="8"/>
      <c r="N16" s="8"/>
      <c r="O16" s="8"/>
    </row>
    <row r="17" spans="2:15" ht="40.799999999999997" customHeight="1" x14ac:dyDescent="0.25">
      <c r="B17" s="9">
        <v>2</v>
      </c>
      <c r="C17" s="6">
        <v>11</v>
      </c>
      <c r="D17" s="7" t="str">
        <f>I2&amp; " sürecinin; "&amp; "çalışmalarını etkin şekilde yürütmesi için çevre şartları sağlanmış mıdır?"</f>
        <v>D2 İNSAN KAYNAKLARI YÖNETİMİ sürecinin; çalışmalarını etkin şekilde yürütmesi için çevre şartları sağlanmış mıdır?</v>
      </c>
      <c r="E17" s="7"/>
      <c r="F17" s="24"/>
      <c r="G17" s="12" t="s">
        <v>22</v>
      </c>
      <c r="H17" s="23" t="str">
        <f t="shared" si="1"/>
        <v>Bayram Çumbul</v>
      </c>
      <c r="I17" s="137" t="s">
        <v>104</v>
      </c>
      <c r="J17" s="138"/>
      <c r="K17" s="42" t="s">
        <v>82</v>
      </c>
      <c r="L17" s="8"/>
      <c r="M17" s="8"/>
      <c r="N17" s="8"/>
      <c r="O17" s="8"/>
    </row>
    <row r="18" spans="2:15" ht="52.2" customHeight="1" x14ac:dyDescent="0.25">
      <c r="B18" s="9">
        <v>2</v>
      </c>
      <c r="C18" s="6">
        <v>12</v>
      </c>
      <c r="D18" s="7" t="str">
        <f>I2&amp; " sürecinin "&amp; "amaca uygun izleme ve ölçme ekipmanlarını kullanıyor, bunları tanımlıyor, izlenebilirliğini sağlıyor mu"</f>
        <v>D2 İNSAN KAYNAKLARI YÖNETİMİ sürecinin amaca uygun izleme ve ölçme ekipmanlarını kullanıyor, bunları tanımlıyor, izlenebilirliğini sağlıyor mu</v>
      </c>
      <c r="E18" s="7"/>
      <c r="F18" s="24"/>
      <c r="G18" s="12" t="s">
        <v>23</v>
      </c>
      <c r="H18" s="23" t="str">
        <f t="shared" si="1"/>
        <v>Bayram Çumbul</v>
      </c>
      <c r="I18" s="150" t="s">
        <v>508</v>
      </c>
      <c r="J18" s="151"/>
      <c r="K18" s="8"/>
      <c r="L18" s="8"/>
      <c r="M18" s="8"/>
      <c r="N18" s="42" t="s">
        <v>82</v>
      </c>
      <c r="O18" s="8"/>
    </row>
    <row r="19" spans="2:15" ht="52.8" x14ac:dyDescent="0.25">
      <c r="B19" s="9">
        <v>2</v>
      </c>
      <c r="C19" s="6">
        <v>13</v>
      </c>
      <c r="D19" s="7" t="str">
        <f>I2&amp; " sürecinin "&amp; "ölçme ekipmanlarının uluslararası izlenebilir doğrulama ve kalibrasyon faaliyetlerini gerçekleştiriyor, doğrulama ve kalibrasyon sonuçları ile ilgili gerekli tedbirleri alıyor mu? DOKÜMANTE BİLGİ (7.1.5.1)"</f>
        <v>D2 İNSAN KAYNAKLARI YÖNETİMİ sürecinin ölçme ekipmanlarının uluslararası izlenebilir doğrulama ve kalibrasyon faaliyetlerini gerçekleştiriyor, doğrulama ve kalibrasyon sonuçları ile ilgili gerekli tedbirleri alıyor mu? DOKÜMANTE BİLGİ (7.1.5.1)</v>
      </c>
      <c r="E19" s="7"/>
      <c r="F19" s="24"/>
      <c r="G19" s="12" t="s">
        <v>23</v>
      </c>
      <c r="H19" s="23" t="str">
        <f t="shared" si="1"/>
        <v>Bayram Çumbul</v>
      </c>
      <c r="I19" s="131"/>
      <c r="J19" s="132"/>
      <c r="K19" s="42" t="s">
        <v>82</v>
      </c>
      <c r="L19" s="8"/>
      <c r="M19" s="8"/>
      <c r="N19" s="8"/>
      <c r="O19" s="8"/>
    </row>
    <row r="20" spans="2:15" ht="26.4" x14ac:dyDescent="0.25">
      <c r="B20" s="9">
        <v>3</v>
      </c>
      <c r="C20" s="6">
        <v>14</v>
      </c>
      <c r="D20" s="22" t="str">
        <f>I2&amp; " sürecinin "&amp; "organizasyonu kalite politikasını ulaşıyormu ve özünü ifade edebiliyor mu? DOKÜMANTE BİLGİ (5.2.2.a)"</f>
        <v>D2 İNSAN KAYNAKLARI YÖNETİMİ sürecinin organizasyonu kalite politikasını ulaşıyormu ve özünü ifade edebiliyor mu? DOKÜMANTE BİLGİ (5.2.2.a)</v>
      </c>
      <c r="E20" s="22"/>
      <c r="F20" s="24"/>
      <c r="G20" s="12" t="s">
        <v>24</v>
      </c>
      <c r="H20" s="23" t="str">
        <f t="shared" si="1"/>
        <v>Bayram Çumbul</v>
      </c>
      <c r="I20" s="131" t="s">
        <v>509</v>
      </c>
      <c r="J20" s="132"/>
      <c r="K20" s="42" t="s">
        <v>82</v>
      </c>
      <c r="L20" s="8"/>
      <c r="M20" s="8"/>
      <c r="N20" s="8"/>
      <c r="O20" s="8"/>
    </row>
    <row r="21" spans="2:15" ht="39.6" x14ac:dyDescent="0.25">
      <c r="B21" s="9">
        <v>3</v>
      </c>
      <c r="C21" s="6">
        <v>15</v>
      </c>
      <c r="D21" s="22" t="str">
        <f>I2&amp; " sürecinin "&amp; "organizasyonuna ait roller, bu rollere ait görevler yazılı olarak belirlenmiş mi, rol sahipleri bu yazılı görev tanımlarına ulaşıyor ve gereklerini yapıyorlar mı?"</f>
        <v>D2 İNSAN KAYNAKLARI YÖNETİMİ sürecinin organizasyonuna ait roller, bu rollere ait görevler yazılı olarak belirlenmiş mi, rol sahipleri bu yazılı görev tanımlarına ulaşıyor ve gereklerini yapıyorlar mı?</v>
      </c>
      <c r="E21" s="22"/>
      <c r="F21" s="24"/>
      <c r="G21" s="12" t="s">
        <v>25</v>
      </c>
      <c r="H21" s="23" t="str">
        <f t="shared" si="1"/>
        <v>Bayram Çumbul</v>
      </c>
      <c r="I21" s="152" t="s">
        <v>468</v>
      </c>
      <c r="J21" s="153"/>
      <c r="K21" s="42" t="s">
        <v>82</v>
      </c>
      <c r="L21" s="8"/>
      <c r="M21" s="8"/>
      <c r="N21" s="34"/>
      <c r="O21" s="8"/>
    </row>
    <row r="22" spans="2:15" ht="56.25" customHeight="1" x14ac:dyDescent="0.25">
      <c r="B22" s="9">
        <v>3</v>
      </c>
      <c r="C22" s="6">
        <v>16</v>
      </c>
      <c r="D22" s="22" t="str">
        <f>I2&amp; " sürecinin "&amp; "organizasyonu için yeterlilik tanımlarına uygun personel tayin ve tedarik edilmiş midir?"</f>
        <v>D2 İNSAN KAYNAKLARI YÖNETİMİ sürecinin organizasyonu için yeterlilik tanımlarına uygun personel tayin ve tedarik edilmiş midir?</v>
      </c>
      <c r="E22" s="22"/>
      <c r="F22" s="24"/>
      <c r="G22" s="12" t="s">
        <v>26</v>
      </c>
      <c r="H22" s="23" t="str">
        <f t="shared" si="1"/>
        <v>Bayram Çumbul</v>
      </c>
      <c r="I22" s="152" t="s">
        <v>469</v>
      </c>
      <c r="J22" s="153"/>
      <c r="K22" s="42" t="s">
        <v>82</v>
      </c>
      <c r="L22" s="8"/>
      <c r="M22" s="8"/>
      <c r="N22" s="34"/>
      <c r="O22" s="8"/>
    </row>
    <row r="23" spans="2:15" ht="87" customHeight="1" x14ac:dyDescent="0.25">
      <c r="B23" s="9">
        <v>3</v>
      </c>
      <c r="C23" s="6">
        <v>17</v>
      </c>
      <c r="D23" s="22" t="str">
        <f>I2&amp; " sürecinin "&amp; "organizasyonunda yer alan roller için yeterlilikler belirlenmiş ve bu yeterliliklerin sağlanması için eğitim vb. faaliyetler gerçekleştiriliyor ve etkinliği değerlendiriliyor mu? DOKÜMANTE BİLGİ (7.2.d)"</f>
        <v>D2 İNSAN KAYNAKLARI YÖNETİMİ sürecinin organizasyonunda yer alan roller için yeterlilikler belirlenmiş ve bu yeterliliklerin sağlanması için eğitim vb. faaliyetler gerçekleştiriliyor ve etkinliği değerlendiriliyor mu? DOKÜMANTE BİLGİ (7.2.d)</v>
      </c>
      <c r="E23" s="22"/>
      <c r="F23" s="24"/>
      <c r="G23" s="12" t="s">
        <v>27</v>
      </c>
      <c r="H23" s="23" t="str">
        <f t="shared" si="1"/>
        <v>Bayram Çumbul</v>
      </c>
      <c r="I23" s="154" t="s">
        <v>470</v>
      </c>
      <c r="J23" s="140"/>
      <c r="K23" s="42" t="s">
        <v>82</v>
      </c>
      <c r="L23" s="8"/>
      <c r="M23" s="34"/>
      <c r="N23" s="34"/>
      <c r="O23" s="40"/>
    </row>
    <row r="24" spans="2:15" ht="39.6" x14ac:dyDescent="0.25">
      <c r="B24" s="9">
        <v>3</v>
      </c>
      <c r="C24" s="6">
        <v>18</v>
      </c>
      <c r="D24" s="22" t="str">
        <f>I2&amp; " sürecinin "&amp; "organizasyonunda görev alan personelin, amaçlara ulaşmak veya amaçlardan sapma konularında farkındalıkları yeterli midir?"</f>
        <v>D2 İNSAN KAYNAKLARI YÖNETİMİ sürecinin organizasyonunda görev alan personelin, amaçlara ulaşmak veya amaçlardan sapma konularında farkındalıkları yeterli midir?</v>
      </c>
      <c r="E24" s="22"/>
      <c r="F24" s="24"/>
      <c r="G24" s="12" t="s">
        <v>28</v>
      </c>
      <c r="H24" s="23" t="str">
        <f t="shared" si="1"/>
        <v>Bayram Çumbul</v>
      </c>
      <c r="I24" s="133" t="s">
        <v>471</v>
      </c>
      <c r="J24" s="132"/>
      <c r="K24" s="42" t="s">
        <v>82</v>
      </c>
      <c r="L24" s="8"/>
      <c r="M24" s="8"/>
      <c r="N24" s="8"/>
      <c r="O24" s="8"/>
    </row>
    <row r="25" spans="2:15" ht="26.4" x14ac:dyDescent="0.25">
      <c r="C25" s="6">
        <v>19</v>
      </c>
      <c r="D25" s="22" t="s">
        <v>95</v>
      </c>
      <c r="E25" s="22"/>
      <c r="F25" s="28"/>
      <c r="G25" s="60" t="s">
        <v>96</v>
      </c>
      <c r="H25" s="23"/>
      <c r="I25" s="133" t="s">
        <v>100</v>
      </c>
      <c r="J25" s="149"/>
      <c r="K25" s="42" t="s">
        <v>82</v>
      </c>
      <c r="L25" s="8"/>
      <c r="M25" s="8"/>
      <c r="N25" s="8"/>
      <c r="O25" s="8"/>
    </row>
    <row r="26" spans="2:15" ht="36.6" customHeight="1" x14ac:dyDescent="0.25">
      <c r="C26" s="6">
        <v>20</v>
      </c>
      <c r="D26" s="22" t="s">
        <v>97</v>
      </c>
      <c r="E26" s="22"/>
      <c r="F26" s="28"/>
      <c r="G26" s="60" t="s">
        <v>98</v>
      </c>
      <c r="H26" s="23"/>
      <c r="I26" s="141" t="s">
        <v>99</v>
      </c>
      <c r="J26" s="163"/>
      <c r="K26" s="42" t="s">
        <v>82</v>
      </c>
      <c r="L26" s="8"/>
      <c r="M26" s="8"/>
      <c r="N26" s="8"/>
      <c r="O26" s="8"/>
    </row>
    <row r="27" spans="2:15" ht="34.5" customHeight="1" x14ac:dyDescent="0.25">
      <c r="B27" s="9">
        <v>4</v>
      </c>
      <c r="C27" s="6">
        <v>21</v>
      </c>
      <c r="D27" s="29" t="s">
        <v>41</v>
      </c>
      <c r="E27" s="22">
        <v>18</v>
      </c>
      <c r="F27" s="24"/>
      <c r="G27" s="12" t="s">
        <v>40</v>
      </c>
      <c r="H27" s="23" t="s">
        <v>44</v>
      </c>
      <c r="I27" s="131" t="s">
        <v>106</v>
      </c>
      <c r="J27" s="132"/>
      <c r="K27" s="42" t="s">
        <v>82</v>
      </c>
      <c r="L27" s="8"/>
      <c r="M27" s="8"/>
      <c r="N27" s="8"/>
      <c r="O27" s="8"/>
    </row>
    <row r="28" spans="2:15" ht="30.6" customHeight="1" x14ac:dyDescent="0.25">
      <c r="B28" s="9">
        <v>4</v>
      </c>
      <c r="C28" s="6">
        <v>22</v>
      </c>
      <c r="D28" s="29" t="s">
        <v>43</v>
      </c>
      <c r="E28" s="22">
        <v>18</v>
      </c>
      <c r="F28" s="24"/>
      <c r="G28" s="12" t="s">
        <v>40</v>
      </c>
      <c r="H28" s="23" t="s">
        <v>44</v>
      </c>
      <c r="I28" s="150" t="s">
        <v>107</v>
      </c>
      <c r="J28" s="151"/>
      <c r="K28" s="42" t="s">
        <v>82</v>
      </c>
      <c r="L28" s="8"/>
      <c r="M28" s="8"/>
      <c r="N28" s="8"/>
      <c r="O28" s="8"/>
    </row>
    <row r="29" spans="2:15" ht="47.25" customHeight="1" x14ac:dyDescent="0.25">
      <c r="B29" s="9">
        <v>4</v>
      </c>
      <c r="C29" s="6">
        <v>23</v>
      </c>
      <c r="D29" s="29" t="s">
        <v>42</v>
      </c>
      <c r="E29" s="22">
        <v>18</v>
      </c>
      <c r="F29" s="24"/>
      <c r="G29" s="12" t="s">
        <v>40</v>
      </c>
      <c r="H29" s="23" t="s">
        <v>44</v>
      </c>
      <c r="I29" s="131" t="s">
        <v>108</v>
      </c>
      <c r="J29" s="132"/>
      <c r="K29" s="42" t="s">
        <v>82</v>
      </c>
      <c r="L29" s="8"/>
      <c r="M29" s="8"/>
      <c r="O29" s="8"/>
    </row>
    <row r="30" spans="2:15" ht="39.6" x14ac:dyDescent="0.25">
      <c r="B30" s="9">
        <v>4</v>
      </c>
      <c r="C30" s="6">
        <v>24</v>
      </c>
      <c r="D30" s="29" t="s">
        <v>45</v>
      </c>
      <c r="E30" s="22"/>
      <c r="F30" s="24"/>
      <c r="G30" s="12" t="s">
        <v>25</v>
      </c>
      <c r="H30" s="23" t="str">
        <f t="shared" si="1"/>
        <v>Bayram Çumbul</v>
      </c>
      <c r="I30" s="131" t="s">
        <v>472</v>
      </c>
      <c r="J30" s="132"/>
      <c r="K30" s="42" t="s">
        <v>82</v>
      </c>
      <c r="L30" s="8"/>
      <c r="M30" s="8"/>
      <c r="N30" s="8"/>
      <c r="O30" s="8"/>
    </row>
    <row r="31" spans="2:15" ht="45.75" customHeight="1" x14ac:dyDescent="0.25">
      <c r="B31" s="9">
        <v>4</v>
      </c>
      <c r="C31" s="6">
        <v>25</v>
      </c>
      <c r="D31" s="29" t="s">
        <v>47</v>
      </c>
      <c r="E31" s="22"/>
      <c r="F31" s="24"/>
      <c r="G31" s="12" t="s">
        <v>46</v>
      </c>
      <c r="H31" s="23" t="str">
        <f t="shared" si="1"/>
        <v>Bayram Çumbul</v>
      </c>
      <c r="I31" s="131" t="s">
        <v>92</v>
      </c>
      <c r="J31" s="132"/>
      <c r="K31" s="42" t="s">
        <v>82</v>
      </c>
      <c r="L31" s="8"/>
      <c r="M31" s="8"/>
      <c r="N31" s="8"/>
      <c r="O31" s="8"/>
    </row>
    <row r="32" spans="2:15" ht="36.75" customHeight="1" x14ac:dyDescent="0.25">
      <c r="B32" s="9">
        <v>4</v>
      </c>
      <c r="C32" s="6">
        <v>26</v>
      </c>
      <c r="D32" s="29" t="s">
        <v>49</v>
      </c>
      <c r="E32" s="22"/>
      <c r="F32" s="24"/>
      <c r="G32" s="12" t="s">
        <v>48</v>
      </c>
      <c r="H32" s="23" t="str">
        <f t="shared" si="1"/>
        <v>Bayram Çumbul</v>
      </c>
      <c r="I32" s="131" t="s">
        <v>473</v>
      </c>
      <c r="J32" s="132"/>
      <c r="K32" s="42" t="s">
        <v>82</v>
      </c>
      <c r="L32" s="8"/>
      <c r="M32" s="8"/>
      <c r="N32" s="8"/>
      <c r="O32" s="8"/>
    </row>
    <row r="33" spans="2:15" ht="39.6" x14ac:dyDescent="0.25">
      <c r="B33" s="9">
        <v>4</v>
      </c>
      <c r="C33" s="6">
        <v>27</v>
      </c>
      <c r="D33" s="29" t="s">
        <v>50</v>
      </c>
      <c r="E33" s="32" t="s">
        <v>51</v>
      </c>
      <c r="F33" s="24"/>
      <c r="G33" s="12" t="s">
        <v>26</v>
      </c>
      <c r="H33" s="23" t="str">
        <f t="shared" si="1"/>
        <v>Bayram Çumbul</v>
      </c>
      <c r="I33" s="133" t="s">
        <v>93</v>
      </c>
      <c r="J33" s="149"/>
      <c r="K33" s="42" t="s">
        <v>82</v>
      </c>
      <c r="L33" s="8"/>
      <c r="M33" s="8"/>
      <c r="N33" s="8"/>
      <c r="O33" s="8"/>
    </row>
    <row r="34" spans="2:15" ht="26.4" x14ac:dyDescent="0.25">
      <c r="B34" s="9">
        <v>4</v>
      </c>
      <c r="C34" s="6">
        <v>28</v>
      </c>
      <c r="D34" s="30" t="s">
        <v>53</v>
      </c>
      <c r="E34" s="28">
        <v>24</v>
      </c>
      <c r="F34" s="24"/>
      <c r="G34" s="31" t="s">
        <v>27</v>
      </c>
      <c r="H34" s="26" t="s">
        <v>52</v>
      </c>
      <c r="I34" s="131" t="s">
        <v>474</v>
      </c>
      <c r="J34" s="132"/>
      <c r="K34" s="42" t="s">
        <v>82</v>
      </c>
      <c r="L34" s="8"/>
      <c r="M34" s="8"/>
      <c r="N34" s="8"/>
      <c r="O34" s="8"/>
    </row>
    <row r="35" spans="2:15" ht="42.6" customHeight="1" x14ac:dyDescent="0.25">
      <c r="B35" s="9">
        <v>4</v>
      </c>
      <c r="C35" s="6">
        <v>29</v>
      </c>
      <c r="D35" s="30" t="s">
        <v>54</v>
      </c>
      <c r="E35" s="28" t="s">
        <v>55</v>
      </c>
      <c r="F35" s="24"/>
      <c r="G35" s="31" t="s">
        <v>27</v>
      </c>
      <c r="H35" s="26" t="s">
        <v>52</v>
      </c>
      <c r="I35" s="133" t="s">
        <v>476</v>
      </c>
      <c r="J35" s="132"/>
      <c r="K35" s="42" t="s">
        <v>82</v>
      </c>
      <c r="L35" s="8"/>
      <c r="M35" s="8"/>
      <c r="N35" s="34"/>
      <c r="O35" s="8"/>
    </row>
    <row r="36" spans="2:15" ht="57" customHeight="1" x14ac:dyDescent="0.25">
      <c r="B36" s="9">
        <v>4</v>
      </c>
      <c r="C36" s="6">
        <v>30</v>
      </c>
      <c r="D36" s="30" t="s">
        <v>62</v>
      </c>
      <c r="E36" s="28">
        <v>36</v>
      </c>
      <c r="F36" s="24"/>
      <c r="G36" s="31" t="s">
        <v>27</v>
      </c>
      <c r="H36" s="26" t="s">
        <v>56</v>
      </c>
      <c r="I36" s="133" t="s">
        <v>475</v>
      </c>
      <c r="J36" s="132"/>
      <c r="K36" s="42" t="s">
        <v>82</v>
      </c>
      <c r="L36" s="8"/>
      <c r="M36" s="8"/>
      <c r="N36" s="8"/>
      <c r="O36" s="8"/>
    </row>
    <row r="37" spans="2:15" ht="25.2" x14ac:dyDescent="0.25">
      <c r="B37" s="9">
        <v>4</v>
      </c>
      <c r="C37" s="6">
        <v>31</v>
      </c>
      <c r="D37" s="30" t="s">
        <v>57</v>
      </c>
      <c r="E37" s="28"/>
      <c r="F37" s="24"/>
      <c r="G37" s="31" t="s">
        <v>27</v>
      </c>
      <c r="H37" s="33" t="s">
        <v>58</v>
      </c>
      <c r="I37" s="131" t="s">
        <v>109</v>
      </c>
      <c r="J37" s="132"/>
      <c r="K37" s="42" t="s">
        <v>82</v>
      </c>
      <c r="L37" s="8"/>
      <c r="M37" s="8"/>
      <c r="N37" s="8"/>
      <c r="O37" s="8"/>
    </row>
    <row r="38" spans="2:15" ht="32.4" customHeight="1" x14ac:dyDescent="0.25">
      <c r="B38" s="9">
        <v>4</v>
      </c>
      <c r="C38" s="6">
        <v>32</v>
      </c>
      <c r="D38" s="30" t="s">
        <v>59</v>
      </c>
      <c r="E38" s="28" t="s">
        <v>61</v>
      </c>
      <c r="F38" s="24"/>
      <c r="G38" s="31" t="s">
        <v>60</v>
      </c>
      <c r="H38" s="33" t="s">
        <v>58</v>
      </c>
      <c r="I38" s="131" t="s">
        <v>477</v>
      </c>
      <c r="J38" s="132"/>
      <c r="K38" s="42" t="s">
        <v>82</v>
      </c>
      <c r="L38" s="8"/>
      <c r="M38" s="8"/>
      <c r="N38" s="8"/>
      <c r="O38" s="8"/>
    </row>
    <row r="39" spans="2:15" ht="40.200000000000003" customHeight="1" x14ac:dyDescent="0.25">
      <c r="B39" s="9">
        <v>4</v>
      </c>
      <c r="C39" s="6">
        <v>33</v>
      </c>
      <c r="D39" s="29" t="s">
        <v>63</v>
      </c>
      <c r="E39" s="28" t="s">
        <v>61</v>
      </c>
      <c r="F39" s="24"/>
      <c r="G39" s="12" t="s">
        <v>64</v>
      </c>
      <c r="H39" s="33" t="s">
        <v>58</v>
      </c>
      <c r="I39" s="133" t="s">
        <v>478</v>
      </c>
      <c r="J39" s="132"/>
      <c r="K39" s="42" t="s">
        <v>82</v>
      </c>
      <c r="L39" s="8"/>
      <c r="M39" s="8"/>
      <c r="N39" s="8"/>
      <c r="O39" s="8"/>
    </row>
    <row r="40" spans="2:15" ht="39.6" x14ac:dyDescent="0.25">
      <c r="B40" s="19">
        <v>4</v>
      </c>
      <c r="C40" s="6">
        <v>34</v>
      </c>
      <c r="D40" s="29" t="s">
        <v>66</v>
      </c>
      <c r="E40" s="28"/>
      <c r="F40" s="24"/>
      <c r="G40" s="12" t="s">
        <v>65</v>
      </c>
      <c r="H40" s="33" t="s">
        <v>58</v>
      </c>
      <c r="I40" s="131" t="s">
        <v>110</v>
      </c>
      <c r="J40" s="132"/>
      <c r="K40" s="42" t="s">
        <v>82</v>
      </c>
      <c r="L40" s="8"/>
      <c r="M40" s="8"/>
      <c r="N40" s="8"/>
      <c r="O40" s="8"/>
    </row>
    <row r="41" spans="2:15" ht="25.5" customHeight="1" x14ac:dyDescent="0.25">
      <c r="B41" s="19">
        <v>4</v>
      </c>
      <c r="C41" s="6">
        <v>35</v>
      </c>
      <c r="D41" s="29" t="s">
        <v>67</v>
      </c>
      <c r="E41" s="28"/>
      <c r="F41" s="24"/>
      <c r="G41" s="12" t="s">
        <v>65</v>
      </c>
      <c r="H41" s="33" t="s">
        <v>58</v>
      </c>
      <c r="I41" s="131" t="s">
        <v>110</v>
      </c>
      <c r="J41" s="132"/>
      <c r="K41" s="42" t="s">
        <v>82</v>
      </c>
      <c r="L41" s="8"/>
      <c r="M41" s="8"/>
      <c r="N41" s="8"/>
      <c r="O41" s="8"/>
    </row>
    <row r="42" spans="2:15" ht="25.5" customHeight="1" x14ac:dyDescent="0.25">
      <c r="B42" s="19">
        <v>4</v>
      </c>
      <c r="C42" s="6">
        <v>36</v>
      </c>
      <c r="D42" s="30" t="s">
        <v>69</v>
      </c>
      <c r="E42" s="28"/>
      <c r="F42" s="24"/>
      <c r="G42" s="21" t="s">
        <v>68</v>
      </c>
      <c r="H42" s="33" t="s">
        <v>58</v>
      </c>
      <c r="I42" s="131" t="s">
        <v>110</v>
      </c>
      <c r="J42" s="132"/>
      <c r="K42" s="42" t="s">
        <v>82</v>
      </c>
      <c r="L42" s="8"/>
      <c r="M42" s="8"/>
      <c r="N42" s="8"/>
      <c r="O42" s="8"/>
    </row>
    <row r="43" spans="2:15" ht="39.6" x14ac:dyDescent="0.25">
      <c r="B43" s="19">
        <v>4</v>
      </c>
      <c r="C43" s="6">
        <v>37</v>
      </c>
      <c r="D43" s="30" t="s">
        <v>70</v>
      </c>
      <c r="E43" s="28">
        <v>18</v>
      </c>
      <c r="F43" s="24"/>
      <c r="G43" s="21" t="s">
        <v>71</v>
      </c>
      <c r="H43" s="33" t="s">
        <v>58</v>
      </c>
      <c r="I43" s="131" t="s">
        <v>479</v>
      </c>
      <c r="J43" s="132"/>
      <c r="K43" s="42" t="s">
        <v>82</v>
      </c>
      <c r="L43" s="8"/>
      <c r="M43" s="8"/>
      <c r="N43" s="8"/>
      <c r="O43" s="8"/>
    </row>
    <row r="44" spans="2:15" ht="39.6" x14ac:dyDescent="0.25">
      <c r="B44" s="19">
        <v>4</v>
      </c>
      <c r="C44" s="6">
        <v>38</v>
      </c>
      <c r="D44" s="30" t="s">
        <v>72</v>
      </c>
      <c r="E44" s="28">
        <v>23</v>
      </c>
      <c r="F44" s="24"/>
      <c r="G44" s="21" t="s">
        <v>75</v>
      </c>
      <c r="H44" s="33" t="s">
        <v>74</v>
      </c>
      <c r="I44" s="131" t="s">
        <v>111</v>
      </c>
      <c r="J44" s="132"/>
      <c r="K44" s="42" t="s">
        <v>82</v>
      </c>
      <c r="L44" s="8"/>
      <c r="M44" s="8"/>
      <c r="N44" s="8"/>
      <c r="O44" s="8"/>
    </row>
    <row r="45" spans="2:15" ht="52.8" x14ac:dyDescent="0.25">
      <c r="B45" s="19">
        <v>4</v>
      </c>
      <c r="C45" s="6">
        <v>39</v>
      </c>
      <c r="D45" s="20" t="s">
        <v>73</v>
      </c>
      <c r="E45" s="28">
        <v>24</v>
      </c>
      <c r="F45" s="24"/>
      <c r="G45" s="21" t="s">
        <v>75</v>
      </c>
      <c r="H45" s="33" t="s">
        <v>74</v>
      </c>
      <c r="I45" s="131" t="s">
        <v>112</v>
      </c>
      <c r="J45" s="132"/>
      <c r="K45" s="42" t="s">
        <v>82</v>
      </c>
      <c r="L45" s="8"/>
      <c r="M45" s="8"/>
      <c r="N45" s="8"/>
      <c r="O45" s="8"/>
    </row>
    <row r="46" spans="2:15" x14ac:dyDescent="0.25">
      <c r="B46" s="19">
        <v>4</v>
      </c>
      <c r="C46" s="6">
        <v>40</v>
      </c>
      <c r="D46" s="30" t="s">
        <v>76</v>
      </c>
      <c r="E46" s="28"/>
      <c r="F46" s="24"/>
      <c r="G46" s="21" t="s">
        <v>75</v>
      </c>
      <c r="H46" s="33" t="s">
        <v>80</v>
      </c>
      <c r="I46" s="131" t="s">
        <v>111</v>
      </c>
      <c r="J46" s="132"/>
      <c r="K46" s="42" t="s">
        <v>82</v>
      </c>
      <c r="L46" s="8"/>
      <c r="M46" s="8"/>
      <c r="N46" s="8"/>
      <c r="O46" s="8"/>
    </row>
    <row r="47" spans="2:15" ht="13.8" customHeight="1" x14ac:dyDescent="0.25">
      <c r="B47" s="19">
        <v>4</v>
      </c>
      <c r="C47" s="6">
        <v>41</v>
      </c>
      <c r="D47" s="30" t="s">
        <v>77</v>
      </c>
      <c r="E47" s="28"/>
      <c r="F47" s="24"/>
      <c r="G47" s="21" t="s">
        <v>75</v>
      </c>
      <c r="H47" s="33" t="s">
        <v>80</v>
      </c>
      <c r="I47" s="131" t="s">
        <v>111</v>
      </c>
      <c r="J47" s="132"/>
      <c r="K47" s="42" t="s">
        <v>82</v>
      </c>
      <c r="L47" s="8"/>
      <c r="M47" s="8"/>
      <c r="N47" s="8"/>
      <c r="O47" s="8"/>
    </row>
    <row r="48" spans="2:15" ht="26.4" x14ac:dyDescent="0.25">
      <c r="B48" s="19">
        <v>4</v>
      </c>
      <c r="C48" s="6">
        <v>42</v>
      </c>
      <c r="D48" s="30" t="s">
        <v>78</v>
      </c>
      <c r="E48" s="28"/>
      <c r="F48" s="24"/>
      <c r="G48" s="21" t="s">
        <v>79</v>
      </c>
      <c r="H48" s="33" t="s">
        <v>74</v>
      </c>
      <c r="I48" s="133"/>
      <c r="J48" s="132"/>
      <c r="K48" s="42" t="s">
        <v>82</v>
      </c>
      <c r="L48" s="8"/>
      <c r="M48" s="8"/>
      <c r="N48" s="8"/>
      <c r="O48" s="8"/>
    </row>
    <row r="49" spans="2:15" ht="26.4" customHeight="1" x14ac:dyDescent="0.25">
      <c r="B49" s="9">
        <v>5</v>
      </c>
      <c r="C49" s="6">
        <v>43</v>
      </c>
      <c r="D49" s="7" t="str">
        <f>I2&amp; " sürecinin "&amp; "sürecinin tüm işlemleri için oluşturulmuş ve kontrol edilen prosedü(ler) mevcut mudur?"</f>
        <v>D2 İNSAN KAYNAKLARI YÖNETİMİ sürecinin sürecinin tüm işlemleri için oluşturulmuş ve kontrol edilen prosedü(ler) mevcut mudur?</v>
      </c>
      <c r="E49" s="7"/>
      <c r="F49" s="24"/>
      <c r="G49" s="12" t="s">
        <v>29</v>
      </c>
      <c r="H49" s="23" t="str">
        <f t="shared" ref="H49:H52" si="2">$I$4</f>
        <v>Bayram Çumbul</v>
      </c>
      <c r="I49" s="131" t="s">
        <v>111</v>
      </c>
      <c r="J49" s="132"/>
      <c r="K49" s="42" t="s">
        <v>82</v>
      </c>
      <c r="L49" s="8"/>
      <c r="M49" s="8"/>
      <c r="N49" s="8"/>
      <c r="O49" s="8"/>
    </row>
    <row r="50" spans="2:15" ht="40.799999999999997" customHeight="1" x14ac:dyDescent="0.25">
      <c r="B50" s="9">
        <v>6</v>
      </c>
      <c r="C50" s="6">
        <v>44</v>
      </c>
      <c r="D50" s="7" t="str">
        <f>I2&amp; " sürecinin "&amp; "performansı ve etkinliği değerlendirilmekte midir? DOKÜMANTE BİLGİ (9.1.1)"</f>
        <v>D2 İNSAN KAYNAKLARI YÖNETİMİ sürecinin performansı ve etkinliği değerlendirilmekte midir? DOKÜMANTE BİLGİ (9.1.1)</v>
      </c>
      <c r="E50" s="7"/>
      <c r="F50" s="24"/>
      <c r="G50" s="12" t="s">
        <v>30</v>
      </c>
      <c r="H50" s="23" t="str">
        <f t="shared" si="2"/>
        <v>Bayram Çumbul</v>
      </c>
      <c r="I50" s="131" t="s">
        <v>105</v>
      </c>
      <c r="J50" s="132"/>
      <c r="K50" s="42" t="s">
        <v>82</v>
      </c>
      <c r="L50" s="8"/>
      <c r="M50" s="8"/>
      <c r="N50" s="8"/>
      <c r="O50" s="8"/>
    </row>
    <row r="51" spans="2:15" ht="40.799999999999997" customHeight="1" x14ac:dyDescent="0.25">
      <c r="B51" s="9">
        <v>6</v>
      </c>
      <c r="C51" s="6">
        <v>45</v>
      </c>
      <c r="D51" s="7" t="str">
        <f>I2&amp; " sürecinin "&amp; "sürecinin müşterlerinin memnuniyeti ölçülüyor mu?"</f>
        <v>D2 İNSAN KAYNAKLARI YÖNETİMİ sürecinin sürecinin müşterlerinin memnuniyeti ölçülüyor mu?</v>
      </c>
      <c r="E51" s="7"/>
      <c r="F51" s="24"/>
      <c r="G51" s="12" t="s">
        <v>31</v>
      </c>
      <c r="H51" s="23" t="str">
        <f t="shared" si="2"/>
        <v>Bayram Çumbul</v>
      </c>
      <c r="I51" s="133" t="s">
        <v>480</v>
      </c>
      <c r="J51" s="149"/>
      <c r="K51" s="42" t="s">
        <v>82</v>
      </c>
      <c r="L51" s="8"/>
      <c r="M51" s="8"/>
      <c r="N51" s="8"/>
      <c r="O51" s="8"/>
    </row>
    <row r="52" spans="2:15" ht="26.4" x14ac:dyDescent="0.25">
      <c r="B52" s="9">
        <v>6</v>
      </c>
      <c r="C52" s="6">
        <v>46</v>
      </c>
      <c r="D52" s="7" t="str">
        <f>I2&amp; " sürecinin "&amp; "izlenmesi ve ölçülmesine ait sonuçlar, istatitiksel yöntemler ile analiz ediliyor ve değerlendiriliyor mu?"</f>
        <v>D2 İNSAN KAYNAKLARI YÖNETİMİ sürecinin izlenmesi ve ölçülmesine ait sonuçlar, istatitiksel yöntemler ile analiz ediliyor ve değerlendiriliyor mu?</v>
      </c>
      <c r="E52" s="7"/>
      <c r="F52" s="24"/>
      <c r="G52" s="12" t="s">
        <v>32</v>
      </c>
      <c r="H52" s="23" t="str">
        <f t="shared" si="2"/>
        <v>Bayram Çumbul</v>
      </c>
      <c r="I52" s="131"/>
      <c r="J52" s="132"/>
      <c r="K52" s="114" t="s">
        <v>82</v>
      </c>
      <c r="L52" s="8"/>
      <c r="M52" s="8"/>
      <c r="N52" s="8"/>
      <c r="O52" s="8"/>
    </row>
    <row r="53" spans="2:15" x14ac:dyDescent="0.25">
      <c r="C53" s="25" t="s">
        <v>37</v>
      </c>
      <c r="K53" s="1">
        <v>45</v>
      </c>
      <c r="N53" s="1">
        <v>1</v>
      </c>
    </row>
    <row r="55" spans="2:15" ht="15.6" x14ac:dyDescent="0.3">
      <c r="C55" s="43" t="s">
        <v>85</v>
      </c>
      <c r="D55" s="44"/>
      <c r="E55" s="44"/>
      <c r="F55" s="45"/>
      <c r="G55" s="44"/>
      <c r="H55" s="44"/>
      <c r="I55" s="44"/>
      <c r="J55" s="44"/>
      <c r="K55" s="44"/>
    </row>
    <row r="56" spans="2:15" ht="14.4" x14ac:dyDescent="0.3">
      <c r="C56" s="46" t="s">
        <v>86</v>
      </c>
      <c r="D56" s="44"/>
      <c r="E56" s="44"/>
      <c r="F56" s="45"/>
      <c r="G56" s="44"/>
      <c r="H56" s="44"/>
      <c r="I56" s="44"/>
      <c r="J56" s="44"/>
      <c r="K56" s="44"/>
    </row>
    <row r="57" spans="2:15" ht="14.4" x14ac:dyDescent="0.3">
      <c r="C57" s="123" t="s">
        <v>87</v>
      </c>
      <c r="D57" s="124"/>
      <c r="E57" s="125"/>
      <c r="F57" s="45"/>
      <c r="G57" s="44"/>
      <c r="H57" s="44"/>
      <c r="I57" s="44"/>
      <c r="J57" s="44"/>
      <c r="K57" s="44"/>
    </row>
    <row r="58" spans="2:15" ht="14.4" x14ac:dyDescent="0.3">
      <c r="C58" s="47"/>
      <c r="D58" s="48"/>
      <c r="E58" s="49"/>
      <c r="F58" s="45"/>
      <c r="G58" s="44"/>
      <c r="H58" s="44"/>
      <c r="I58" s="44"/>
      <c r="J58" s="44"/>
      <c r="K58" s="44"/>
    </row>
    <row r="59" spans="2:15" ht="14.4" x14ac:dyDescent="0.3">
      <c r="C59" s="50"/>
      <c r="D59" s="44"/>
      <c r="E59" s="44"/>
      <c r="F59" s="45"/>
      <c r="G59" s="44"/>
      <c r="H59" s="44"/>
      <c r="I59" s="44"/>
      <c r="J59" s="44"/>
      <c r="K59" s="44"/>
    </row>
    <row r="60" spans="2:15" ht="14.4" x14ac:dyDescent="0.3">
      <c r="C60" s="46" t="s">
        <v>88</v>
      </c>
      <c r="D60" s="44"/>
      <c r="E60" s="44"/>
      <c r="F60" s="45"/>
      <c r="G60" s="44"/>
      <c r="H60" s="44"/>
      <c r="I60" s="44"/>
      <c r="J60" s="44"/>
      <c r="K60" s="44"/>
    </row>
    <row r="61" spans="2:15" ht="14.4" x14ac:dyDescent="0.3">
      <c r="C61" s="126"/>
      <c r="D61" s="127"/>
      <c r="E61" s="128"/>
      <c r="F61" s="45"/>
      <c r="G61" s="44"/>
      <c r="H61" s="44"/>
      <c r="I61" s="44"/>
      <c r="J61" s="44"/>
      <c r="K61" s="44"/>
    </row>
    <row r="62" spans="2:15" ht="14.4" x14ac:dyDescent="0.3">
      <c r="C62" s="119"/>
      <c r="D62" s="120"/>
      <c r="E62" s="121"/>
      <c r="F62" s="45"/>
      <c r="G62" s="44"/>
      <c r="H62" s="44"/>
      <c r="I62" s="44"/>
      <c r="J62" s="44"/>
      <c r="K62" s="44"/>
    </row>
    <row r="63" spans="2:15" ht="14.4" x14ac:dyDescent="0.3">
      <c r="C63" s="50"/>
      <c r="D63" s="44"/>
      <c r="E63" s="44"/>
      <c r="F63" s="45"/>
      <c r="G63" s="44"/>
      <c r="H63" s="44"/>
      <c r="I63" s="44"/>
      <c r="J63" s="44"/>
      <c r="K63" s="44"/>
    </row>
    <row r="64" spans="2:15" ht="14.4" x14ac:dyDescent="0.3">
      <c r="C64" s="46" t="s">
        <v>89</v>
      </c>
      <c r="D64" s="44"/>
      <c r="E64" s="44"/>
      <c r="F64" s="45"/>
      <c r="G64" s="44"/>
      <c r="H64" s="44"/>
      <c r="I64" s="44"/>
      <c r="J64" s="44"/>
      <c r="K64" s="44"/>
    </row>
    <row r="65" spans="3:11" ht="14.4" x14ac:dyDescent="0.3">
      <c r="C65" s="123" t="s">
        <v>510</v>
      </c>
      <c r="D65" s="124"/>
      <c r="E65" s="51"/>
      <c r="F65" s="45"/>
      <c r="G65" s="44"/>
      <c r="H65" s="44"/>
      <c r="I65" s="44"/>
      <c r="J65" s="44"/>
      <c r="K65" s="44"/>
    </row>
    <row r="66" spans="3:11" ht="33.6" customHeight="1" x14ac:dyDescent="0.3">
      <c r="C66" s="119" t="s">
        <v>511</v>
      </c>
      <c r="D66" s="120"/>
      <c r="E66" s="121"/>
      <c r="F66" s="45"/>
      <c r="G66" s="44"/>
      <c r="H66" s="44"/>
      <c r="I66" s="44"/>
      <c r="J66" s="44"/>
      <c r="K66" s="44"/>
    </row>
    <row r="67" spans="3:11" ht="15.6" x14ac:dyDescent="0.3">
      <c r="C67" s="43" t="s">
        <v>90</v>
      </c>
      <c r="D67" s="44"/>
      <c r="E67" s="44"/>
      <c r="F67" s="45"/>
      <c r="G67" s="44"/>
      <c r="H67" s="44"/>
      <c r="I67" s="44"/>
      <c r="J67" s="44"/>
      <c r="K67" s="44"/>
    </row>
    <row r="68" spans="3:11" ht="14.4" x14ac:dyDescent="0.3">
      <c r="C68" s="142">
        <v>100</v>
      </c>
      <c r="D68" s="142"/>
      <c r="E68" s="142"/>
      <c r="F68" s="45"/>
      <c r="G68" s="44"/>
      <c r="H68" s="44"/>
      <c r="I68" s="44"/>
      <c r="J68" s="44"/>
      <c r="K68" s="44"/>
    </row>
    <row r="69" spans="3:11" ht="14.4" x14ac:dyDescent="0.3">
      <c r="C69" s="52"/>
      <c r="D69" s="44"/>
      <c r="E69" s="44"/>
      <c r="F69" s="45"/>
      <c r="G69" s="53"/>
      <c r="H69" s="44"/>
      <c r="I69" s="61"/>
      <c r="J69" s="44"/>
      <c r="K69" s="44"/>
    </row>
    <row r="70" spans="3:11" ht="14.4" x14ac:dyDescent="0.3">
      <c r="C70" s="52"/>
      <c r="D70" s="44"/>
      <c r="E70" s="44"/>
      <c r="F70" s="45"/>
      <c r="G70" s="54" t="s">
        <v>91</v>
      </c>
      <c r="H70" s="55"/>
      <c r="I70" s="56" t="s">
        <v>506</v>
      </c>
      <c r="J70" s="57"/>
      <c r="K70" s="57"/>
    </row>
    <row r="71" spans="3:11" ht="14.4" x14ac:dyDescent="0.3">
      <c r="C71" s="52"/>
      <c r="D71" s="44"/>
      <c r="E71" s="44"/>
      <c r="F71" s="45"/>
      <c r="G71" s="56" t="s">
        <v>94</v>
      </c>
      <c r="H71" s="57"/>
      <c r="I71" s="59">
        <v>45420</v>
      </c>
      <c r="J71" s="57"/>
      <c r="K71" s="57"/>
    </row>
    <row r="76" spans="3:11" x14ac:dyDescent="0.25">
      <c r="G76" s="1"/>
    </row>
    <row r="77" spans="3:11" x14ac:dyDescent="0.25">
      <c r="G77" s="1"/>
    </row>
  </sheetData>
  <mergeCells count="65">
    <mergeCell ref="B5:B6"/>
    <mergeCell ref="I5:J6"/>
    <mergeCell ref="I7:J7"/>
    <mergeCell ref="I8:J8"/>
    <mergeCell ref="I29:J29"/>
    <mergeCell ref="I9:J9"/>
    <mergeCell ref="H5:H6"/>
    <mergeCell ref="C5:C6"/>
    <mergeCell ref="E5:E6"/>
    <mergeCell ref="I27:J27"/>
    <mergeCell ref="G5:G6"/>
    <mergeCell ref="I14:J14"/>
    <mergeCell ref="I15:J15"/>
    <mergeCell ref="I16:J16"/>
    <mergeCell ref="I26:J26"/>
    <mergeCell ref="I25:J25"/>
    <mergeCell ref="I28:J28"/>
    <mergeCell ref="C4:D4"/>
    <mergeCell ref="G2:H2"/>
    <mergeCell ref="F5:F6"/>
    <mergeCell ref="I51:J51"/>
    <mergeCell ref="D5:D6"/>
    <mergeCell ref="I43:J43"/>
    <mergeCell ref="I18:J18"/>
    <mergeCell ref="I20:J20"/>
    <mergeCell ref="I21:J21"/>
    <mergeCell ref="I40:J40"/>
    <mergeCell ref="I41:J41"/>
    <mergeCell ref="I42:J42"/>
    <mergeCell ref="I22:J22"/>
    <mergeCell ref="I23:J23"/>
    <mergeCell ref="I24:J24"/>
    <mergeCell ref="I33:J33"/>
    <mergeCell ref="C68:E68"/>
    <mergeCell ref="I19:J19"/>
    <mergeCell ref="I30:J30"/>
    <mergeCell ref="I31:J31"/>
    <mergeCell ref="I32:J32"/>
    <mergeCell ref="I34:J34"/>
    <mergeCell ref="I37:J37"/>
    <mergeCell ref="I36:J36"/>
    <mergeCell ref="I35:J35"/>
    <mergeCell ref="I38:J38"/>
    <mergeCell ref="I48:J48"/>
    <mergeCell ref="I52:J52"/>
    <mergeCell ref="I44:J44"/>
    <mergeCell ref="I45:J45"/>
    <mergeCell ref="I46:J46"/>
    <mergeCell ref="I49:J49"/>
    <mergeCell ref="C66:E66"/>
    <mergeCell ref="K3:N3"/>
    <mergeCell ref="C57:E57"/>
    <mergeCell ref="C61:E62"/>
    <mergeCell ref="C65:D65"/>
    <mergeCell ref="M4:O4"/>
    <mergeCell ref="K4:L4"/>
    <mergeCell ref="I50:J50"/>
    <mergeCell ref="I47:J47"/>
    <mergeCell ref="I39:J39"/>
    <mergeCell ref="K5:N5"/>
    <mergeCell ref="I17:J17"/>
    <mergeCell ref="I11:J11"/>
    <mergeCell ref="I12:J12"/>
    <mergeCell ref="I13:J13"/>
    <mergeCell ref="I10:J10"/>
  </mergeCells>
  <conditionalFormatting sqref="F7:F52">
    <cfRule type="expression" dxfId="0" priority="1">
      <formula>F7="N/A"</formula>
    </cfRule>
  </conditionalFormatting>
  <dataValidations disablePrompts="1" count="1">
    <dataValidation type="list" allowBlank="1" showInputMessage="1" showErrorMessage="1" sqref="F7:F52" xr:uid="{00000000-0002-0000-0000-000000000000}">
      <formula1>"N/A"</formula1>
    </dataValidation>
  </dataValidations>
  <printOptions horizontalCentered="1"/>
  <pageMargins left="0.15748031496062992" right="0.15748031496062992" top="0.31496062992125984" bottom="0.35433070866141736" header="0.23622047244094491" footer="0.15748031496062992"/>
  <pageSetup paperSize="9" scale="82" fitToHeight="0" orientation="landscape" r:id="rId1"/>
  <headerFooter>
    <oddFooter>&amp;R&amp;"Arial,Normal"Y03 F21(1)_07.04.2025</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2DF7D-D4AD-418F-BA23-52262E664A4C}">
  <sheetPr>
    <tabColor rgb="FF00B050"/>
    <pageSetUpPr fitToPage="1"/>
  </sheetPr>
  <dimension ref="A1:K219"/>
  <sheetViews>
    <sheetView tabSelected="1" zoomScaleNormal="100" workbookViewId="0">
      <pane ySplit="5" topLeftCell="A138" activePane="bottomLeft" state="frozen"/>
      <selection pane="bottomLeft" activeCell="D141" sqref="D141:D144"/>
    </sheetView>
  </sheetViews>
  <sheetFormatPr defaultColWidth="9.109375" defaultRowHeight="13.2" x14ac:dyDescent="0.25"/>
  <cols>
    <col min="1" max="1" width="6.33203125" style="62" customWidth="1"/>
    <col min="2" max="2" width="4.88671875" style="101" customWidth="1"/>
    <col min="3" max="3" width="63.44140625" style="62" customWidth="1"/>
    <col min="4" max="4" width="19.6640625" style="62" customWidth="1"/>
    <col min="5" max="5" width="16.109375" style="102" customWidth="1"/>
    <col min="6" max="6" width="54" style="62" customWidth="1"/>
    <col min="7" max="7" width="7" style="62" customWidth="1"/>
    <col min="8" max="10" width="3.6640625" style="62" customWidth="1"/>
    <col min="11" max="11" width="10.6640625" style="62" customWidth="1"/>
    <col min="12" max="16384" width="9.109375" style="62"/>
  </cols>
  <sheetData>
    <row r="1" spans="1:11" ht="21" x14ac:dyDescent="0.4">
      <c r="A1" s="181" t="s">
        <v>0</v>
      </c>
      <c r="B1" s="182"/>
      <c r="C1" s="182"/>
      <c r="D1" s="182"/>
      <c r="E1" s="182"/>
      <c r="F1" s="182"/>
      <c r="G1" s="182"/>
      <c r="H1" s="182"/>
      <c r="I1" s="182"/>
      <c r="J1" s="182"/>
      <c r="K1" s="183"/>
    </row>
    <row r="2" spans="1:11" ht="21" x14ac:dyDescent="0.4">
      <c r="A2" s="63" t="s">
        <v>117</v>
      </c>
      <c r="B2" s="64"/>
      <c r="C2" s="65">
        <v>45420</v>
      </c>
      <c r="E2" s="66" t="s">
        <v>463</v>
      </c>
      <c r="F2" s="67"/>
      <c r="G2" s="66" t="s">
        <v>461</v>
      </c>
      <c r="H2" s="67"/>
      <c r="I2" s="67"/>
      <c r="J2" s="67"/>
      <c r="K2" s="68"/>
    </row>
    <row r="3" spans="1:11" ht="45" customHeight="1" x14ac:dyDescent="0.4">
      <c r="A3" s="179" t="s">
        <v>462</v>
      </c>
      <c r="B3" s="180"/>
      <c r="C3" s="180"/>
      <c r="E3" s="70" t="s">
        <v>118</v>
      </c>
      <c r="F3" s="69"/>
      <c r="G3" s="69"/>
      <c r="H3" s="69"/>
      <c r="I3" s="69"/>
      <c r="J3" s="69"/>
      <c r="K3" s="71"/>
    </row>
    <row r="4" spans="1:11" ht="12.75" customHeight="1" x14ac:dyDescent="0.25">
      <c r="A4" s="72" t="s">
        <v>119</v>
      </c>
      <c r="B4" s="73" t="s">
        <v>120</v>
      </c>
      <c r="C4" s="184" t="s">
        <v>121</v>
      </c>
      <c r="D4" s="186" t="s">
        <v>122</v>
      </c>
      <c r="E4" s="188" t="s">
        <v>123</v>
      </c>
      <c r="F4" s="190" t="s">
        <v>124</v>
      </c>
      <c r="G4" s="192" t="s">
        <v>125</v>
      </c>
      <c r="H4" s="193"/>
      <c r="I4" s="193"/>
      <c r="J4" s="194"/>
      <c r="K4" s="74" t="s">
        <v>126</v>
      </c>
    </row>
    <row r="5" spans="1:11" x14ac:dyDescent="0.25">
      <c r="A5" s="75" t="s">
        <v>127</v>
      </c>
      <c r="B5" s="76" t="s">
        <v>10</v>
      </c>
      <c r="C5" s="185"/>
      <c r="D5" s="187"/>
      <c r="E5" s="189"/>
      <c r="F5" s="191"/>
      <c r="G5" s="77" t="s">
        <v>3</v>
      </c>
      <c r="H5" s="77" t="s">
        <v>4</v>
      </c>
      <c r="I5" s="77" t="s">
        <v>5</v>
      </c>
      <c r="J5" s="77" t="s">
        <v>6</v>
      </c>
      <c r="K5" s="78" t="s">
        <v>128</v>
      </c>
    </row>
    <row r="6" spans="1:11" ht="41.25" customHeight="1" x14ac:dyDescent="0.25">
      <c r="A6" s="79" t="s">
        <v>129</v>
      </c>
      <c r="B6" s="80">
        <v>1</v>
      </c>
      <c r="C6" s="81" t="s">
        <v>130</v>
      </c>
      <c r="D6" s="82" t="s">
        <v>131</v>
      </c>
      <c r="E6" s="83" t="s">
        <v>132</v>
      </c>
      <c r="F6" s="84" t="s">
        <v>133</v>
      </c>
      <c r="G6" s="85" t="s">
        <v>134</v>
      </c>
      <c r="H6" s="86"/>
      <c r="I6" s="86"/>
      <c r="J6" s="86"/>
      <c r="K6" s="87"/>
    </row>
    <row r="7" spans="1:11" ht="37.5" customHeight="1" x14ac:dyDescent="0.25">
      <c r="A7" s="79" t="s">
        <v>135</v>
      </c>
      <c r="B7" s="80">
        <v>2</v>
      </c>
      <c r="C7" s="88" t="s">
        <v>136</v>
      </c>
      <c r="D7" s="82" t="s">
        <v>137</v>
      </c>
      <c r="E7" s="83" t="s">
        <v>132</v>
      </c>
      <c r="F7" s="84" t="s">
        <v>133</v>
      </c>
      <c r="G7" s="85" t="s">
        <v>134</v>
      </c>
      <c r="H7" s="89"/>
      <c r="I7" s="89"/>
      <c r="J7" s="89"/>
      <c r="K7" s="90"/>
    </row>
    <row r="8" spans="1:11" ht="25.5" customHeight="1" x14ac:dyDescent="0.25">
      <c r="A8" s="79" t="s">
        <v>138</v>
      </c>
      <c r="B8" s="80">
        <v>3</v>
      </c>
      <c r="C8" s="88" t="s">
        <v>139</v>
      </c>
      <c r="D8" s="82" t="s">
        <v>140</v>
      </c>
      <c r="E8" s="83" t="s">
        <v>132</v>
      </c>
      <c r="F8" s="91" t="s">
        <v>133</v>
      </c>
      <c r="G8" s="85" t="s">
        <v>134</v>
      </c>
      <c r="H8" s="89"/>
      <c r="I8" s="92"/>
      <c r="J8" s="89"/>
      <c r="K8" s="93"/>
    </row>
    <row r="9" spans="1:11" ht="29.25" customHeight="1" x14ac:dyDescent="0.25">
      <c r="A9" s="79" t="s">
        <v>141</v>
      </c>
      <c r="B9" s="80">
        <v>4</v>
      </c>
      <c r="C9" s="88" t="s">
        <v>142</v>
      </c>
      <c r="D9" s="82" t="s">
        <v>143</v>
      </c>
      <c r="E9" s="83" t="s">
        <v>132</v>
      </c>
      <c r="F9" s="91" t="s">
        <v>133</v>
      </c>
      <c r="G9" s="85" t="s">
        <v>134</v>
      </c>
      <c r="H9" s="89"/>
      <c r="I9" s="92"/>
      <c r="J9" s="89"/>
      <c r="K9" s="93"/>
    </row>
    <row r="10" spans="1:11" ht="29.25" customHeight="1" x14ac:dyDescent="0.25">
      <c r="A10" s="79" t="s">
        <v>144</v>
      </c>
      <c r="B10" s="80">
        <v>5</v>
      </c>
      <c r="C10" s="88" t="s">
        <v>145</v>
      </c>
      <c r="D10" s="82" t="s">
        <v>146</v>
      </c>
      <c r="E10" s="83" t="s">
        <v>132</v>
      </c>
      <c r="F10" s="88" t="s">
        <v>481</v>
      </c>
      <c r="G10" s="85" t="s">
        <v>134</v>
      </c>
      <c r="H10" s="89"/>
      <c r="I10" s="92"/>
      <c r="J10" s="89"/>
      <c r="K10" s="93"/>
    </row>
    <row r="11" spans="1:11" ht="37.5" customHeight="1" x14ac:dyDescent="0.25">
      <c r="A11" s="79" t="s">
        <v>12</v>
      </c>
      <c r="B11" s="80">
        <v>6</v>
      </c>
      <c r="C11" s="88" t="s">
        <v>147</v>
      </c>
      <c r="D11" s="82" t="s">
        <v>148</v>
      </c>
      <c r="E11" s="83" t="s">
        <v>149</v>
      </c>
      <c r="F11" s="88" t="s">
        <v>482</v>
      </c>
      <c r="G11" s="85" t="s">
        <v>134</v>
      </c>
      <c r="H11" s="89"/>
      <c r="I11" s="92"/>
      <c r="J11" s="89"/>
      <c r="K11" s="93"/>
    </row>
    <row r="12" spans="1:11" ht="27" customHeight="1" x14ac:dyDescent="0.25">
      <c r="A12" s="79" t="s">
        <v>150</v>
      </c>
      <c r="B12" s="80">
        <v>7</v>
      </c>
      <c r="C12" s="88" t="s">
        <v>151</v>
      </c>
      <c r="D12" s="82"/>
      <c r="E12" s="83" t="s">
        <v>152</v>
      </c>
      <c r="F12" s="94" t="s">
        <v>153</v>
      </c>
      <c r="G12" s="85" t="s">
        <v>134</v>
      </c>
      <c r="H12" s="89"/>
      <c r="I12" s="92"/>
      <c r="J12" s="89"/>
      <c r="K12" s="93"/>
    </row>
    <row r="13" spans="1:11" ht="20.399999999999999" x14ac:dyDescent="0.25">
      <c r="A13" s="79" t="s">
        <v>154</v>
      </c>
      <c r="B13" s="80">
        <v>8</v>
      </c>
      <c r="C13" s="88" t="s">
        <v>155</v>
      </c>
      <c r="D13" s="82" t="s">
        <v>156</v>
      </c>
      <c r="E13" s="83" t="s">
        <v>149</v>
      </c>
      <c r="F13" s="88" t="s">
        <v>483</v>
      </c>
      <c r="G13" s="85" t="s">
        <v>134</v>
      </c>
      <c r="H13" s="89"/>
      <c r="I13" s="92"/>
      <c r="J13" s="89"/>
      <c r="K13" s="93"/>
    </row>
    <row r="14" spans="1:11" ht="65.25" customHeight="1" x14ac:dyDescent="0.25">
      <c r="A14" s="79" t="s">
        <v>24</v>
      </c>
      <c r="B14" s="80">
        <v>9</v>
      </c>
      <c r="C14" s="88" t="s">
        <v>157</v>
      </c>
      <c r="D14" s="82" t="s">
        <v>158</v>
      </c>
      <c r="E14" s="83" t="s">
        <v>159</v>
      </c>
      <c r="F14" s="95" t="s">
        <v>484</v>
      </c>
      <c r="G14" s="85" t="s">
        <v>134</v>
      </c>
      <c r="H14" s="89"/>
      <c r="I14" s="92"/>
      <c r="J14" s="89"/>
      <c r="K14" s="93"/>
    </row>
    <row r="15" spans="1:11" ht="30.6" x14ac:dyDescent="0.25">
      <c r="A15" s="79" t="s">
        <v>24</v>
      </c>
      <c r="B15" s="80">
        <v>10</v>
      </c>
      <c r="C15" s="96" t="s">
        <v>160</v>
      </c>
      <c r="D15" s="82" t="s">
        <v>161</v>
      </c>
      <c r="E15" s="83" t="s">
        <v>159</v>
      </c>
      <c r="F15" s="95" t="s">
        <v>484</v>
      </c>
      <c r="G15" s="85" t="s">
        <v>134</v>
      </c>
      <c r="H15" s="89"/>
      <c r="I15" s="92"/>
      <c r="J15" s="89"/>
      <c r="K15" s="93"/>
    </row>
    <row r="16" spans="1:11" ht="30.6" x14ac:dyDescent="0.25">
      <c r="A16" s="79" t="s">
        <v>24</v>
      </c>
      <c r="B16" s="80">
        <v>11</v>
      </c>
      <c r="C16" s="88" t="s">
        <v>162</v>
      </c>
      <c r="D16" s="82" t="s">
        <v>161</v>
      </c>
      <c r="E16" s="83" t="s">
        <v>159</v>
      </c>
      <c r="F16" s="95" t="s">
        <v>484</v>
      </c>
      <c r="G16" s="85" t="s">
        <v>134</v>
      </c>
      <c r="H16" s="89"/>
      <c r="I16" s="92"/>
      <c r="J16" s="92"/>
      <c r="K16" s="93"/>
    </row>
    <row r="17" spans="1:11" ht="65.25" customHeight="1" x14ac:dyDescent="0.25">
      <c r="A17" s="79" t="s">
        <v>25</v>
      </c>
      <c r="B17" s="80">
        <v>12</v>
      </c>
      <c r="C17" s="96" t="s">
        <v>163</v>
      </c>
      <c r="D17" s="82" t="s">
        <v>164</v>
      </c>
      <c r="E17" s="83" t="s">
        <v>149</v>
      </c>
      <c r="F17" s="88" t="s">
        <v>165</v>
      </c>
      <c r="G17" s="85" t="s">
        <v>134</v>
      </c>
      <c r="H17" s="89"/>
      <c r="I17" s="92"/>
      <c r="J17" s="89"/>
      <c r="K17" s="93"/>
    </row>
    <row r="18" spans="1:11" ht="40.799999999999997" x14ac:dyDescent="0.25">
      <c r="A18" s="79" t="s">
        <v>25</v>
      </c>
      <c r="B18" s="80">
        <v>13</v>
      </c>
      <c r="C18" s="96" t="s">
        <v>166</v>
      </c>
      <c r="D18" s="82" t="s">
        <v>164</v>
      </c>
      <c r="E18" s="83" t="s">
        <v>159</v>
      </c>
      <c r="F18" s="88" t="s">
        <v>165</v>
      </c>
      <c r="G18" s="85" t="s">
        <v>134</v>
      </c>
      <c r="H18" s="89"/>
      <c r="I18" s="92"/>
      <c r="J18" s="89"/>
      <c r="K18" s="93"/>
    </row>
    <row r="19" spans="1:11" ht="51" x14ac:dyDescent="0.25">
      <c r="A19" s="79" t="s">
        <v>25</v>
      </c>
      <c r="B19" s="80">
        <v>14</v>
      </c>
      <c r="C19" s="88" t="s">
        <v>167</v>
      </c>
      <c r="D19" s="82" t="s">
        <v>168</v>
      </c>
      <c r="E19" s="83" t="s">
        <v>149</v>
      </c>
      <c r="F19" s="88" t="s">
        <v>169</v>
      </c>
      <c r="G19" s="85" t="s">
        <v>134</v>
      </c>
      <c r="H19" s="89"/>
      <c r="I19" s="92"/>
      <c r="J19" s="89"/>
      <c r="K19" s="93"/>
    </row>
    <row r="20" spans="1:11" ht="51" x14ac:dyDescent="0.25">
      <c r="A20" s="79" t="s">
        <v>170</v>
      </c>
      <c r="B20" s="80">
        <v>15</v>
      </c>
      <c r="C20" s="88" t="s">
        <v>171</v>
      </c>
      <c r="D20" s="82" t="s">
        <v>172</v>
      </c>
      <c r="E20" s="83" t="s">
        <v>149</v>
      </c>
      <c r="F20" s="88" t="s">
        <v>485</v>
      </c>
      <c r="G20" s="85" t="s">
        <v>134</v>
      </c>
      <c r="H20" s="89"/>
      <c r="I20" s="92"/>
      <c r="K20" s="93"/>
    </row>
    <row r="21" spans="1:11" ht="20.399999999999999" x14ac:dyDescent="0.25">
      <c r="A21" s="79" t="s">
        <v>170</v>
      </c>
      <c r="B21" s="80">
        <v>16</v>
      </c>
      <c r="C21" s="88" t="s">
        <v>173</v>
      </c>
      <c r="D21" s="82" t="s">
        <v>174</v>
      </c>
      <c r="E21" s="83" t="s">
        <v>149</v>
      </c>
      <c r="F21" s="88" t="s">
        <v>175</v>
      </c>
      <c r="G21" s="85" t="s">
        <v>134</v>
      </c>
      <c r="H21" s="89"/>
      <c r="I21" s="92"/>
      <c r="J21" s="89"/>
      <c r="K21" s="93"/>
    </row>
    <row r="22" spans="1:11" ht="20.399999999999999" x14ac:dyDescent="0.25">
      <c r="A22" s="79" t="s">
        <v>170</v>
      </c>
      <c r="B22" s="80">
        <v>17</v>
      </c>
      <c r="C22" s="88" t="s">
        <v>176</v>
      </c>
      <c r="D22" s="82" t="s">
        <v>174</v>
      </c>
      <c r="E22" s="83" t="s">
        <v>149</v>
      </c>
      <c r="F22" s="88" t="s">
        <v>177</v>
      </c>
      <c r="G22" s="85" t="s">
        <v>134</v>
      </c>
      <c r="H22" s="89"/>
      <c r="I22" s="92"/>
      <c r="J22" s="89"/>
      <c r="K22" s="93"/>
    </row>
    <row r="23" spans="1:11" ht="39.75" customHeight="1" x14ac:dyDescent="0.25">
      <c r="A23" s="79" t="s">
        <v>170</v>
      </c>
      <c r="B23" s="80">
        <v>18</v>
      </c>
      <c r="C23" s="88" t="s">
        <v>178</v>
      </c>
      <c r="D23" s="82" t="s">
        <v>174</v>
      </c>
      <c r="E23" s="83" t="s">
        <v>159</v>
      </c>
      <c r="F23" s="88" t="s">
        <v>179</v>
      </c>
      <c r="G23" s="85" t="s">
        <v>134</v>
      </c>
      <c r="H23" s="89"/>
      <c r="I23" s="92"/>
      <c r="J23" s="89"/>
      <c r="K23" s="93"/>
    </row>
    <row r="24" spans="1:11" ht="30.6" x14ac:dyDescent="0.25">
      <c r="A24" s="79" t="s">
        <v>170</v>
      </c>
      <c r="B24" s="80">
        <v>19</v>
      </c>
      <c r="C24" s="88" t="s">
        <v>180</v>
      </c>
      <c r="D24" s="82" t="s">
        <v>174</v>
      </c>
      <c r="E24" s="83" t="s">
        <v>159</v>
      </c>
      <c r="F24" s="88" t="s">
        <v>181</v>
      </c>
      <c r="G24" s="85" t="s">
        <v>134</v>
      </c>
      <c r="H24" s="89"/>
      <c r="I24" s="92"/>
      <c r="J24" s="89"/>
      <c r="K24" s="93"/>
    </row>
    <row r="25" spans="1:11" ht="30.6" x14ac:dyDescent="0.25">
      <c r="A25" s="79" t="s">
        <v>170</v>
      </c>
      <c r="B25" s="80">
        <v>20</v>
      </c>
      <c r="C25" s="96" t="s">
        <v>182</v>
      </c>
      <c r="D25" s="82" t="s">
        <v>174</v>
      </c>
      <c r="E25" s="83" t="s">
        <v>159</v>
      </c>
      <c r="F25" s="88" t="s">
        <v>181</v>
      </c>
      <c r="G25" s="85" t="s">
        <v>134</v>
      </c>
      <c r="H25" s="89"/>
      <c r="I25" s="92"/>
      <c r="J25" s="89"/>
      <c r="K25" s="93"/>
    </row>
    <row r="26" spans="1:11" ht="51" x14ac:dyDescent="0.25">
      <c r="A26" s="79" t="s">
        <v>183</v>
      </c>
      <c r="B26" s="80">
        <v>21</v>
      </c>
      <c r="C26" s="96" t="s">
        <v>184</v>
      </c>
      <c r="D26" s="82" t="s">
        <v>185</v>
      </c>
      <c r="E26" s="83" t="s">
        <v>152</v>
      </c>
      <c r="F26" s="88" t="s">
        <v>186</v>
      </c>
      <c r="G26" s="85" t="s">
        <v>134</v>
      </c>
      <c r="H26" s="89"/>
      <c r="I26" s="92"/>
      <c r="J26" s="89"/>
      <c r="K26" s="93"/>
    </row>
    <row r="27" spans="1:11" ht="40.799999999999997" x14ac:dyDescent="0.25">
      <c r="A27" s="79" t="s">
        <v>183</v>
      </c>
      <c r="B27" s="80">
        <v>22</v>
      </c>
      <c r="C27" s="96" t="s">
        <v>187</v>
      </c>
      <c r="D27" s="82" t="s">
        <v>185</v>
      </c>
      <c r="E27" s="83" t="s">
        <v>152</v>
      </c>
      <c r="F27" s="88" t="s">
        <v>186</v>
      </c>
      <c r="G27" s="85" t="s">
        <v>134</v>
      </c>
      <c r="H27" s="89"/>
      <c r="I27" s="92"/>
      <c r="J27" s="89"/>
      <c r="K27" s="93"/>
    </row>
    <row r="28" spans="1:11" ht="51" x14ac:dyDescent="0.25">
      <c r="A28" s="79" t="s">
        <v>188</v>
      </c>
      <c r="B28" s="80">
        <v>23</v>
      </c>
      <c r="C28" s="96" t="s">
        <v>189</v>
      </c>
      <c r="D28" s="82" t="s">
        <v>190</v>
      </c>
      <c r="E28" s="83" t="s">
        <v>149</v>
      </c>
      <c r="F28" s="88" t="s">
        <v>486</v>
      </c>
      <c r="G28" s="85" t="s">
        <v>134</v>
      </c>
      <c r="H28" s="89"/>
      <c r="I28" s="92"/>
      <c r="J28" s="92"/>
      <c r="K28" s="97"/>
    </row>
    <row r="29" spans="1:11" ht="20.399999999999999" x14ac:dyDescent="0.25">
      <c r="A29" s="79" t="s">
        <v>191</v>
      </c>
      <c r="B29" s="80">
        <v>24</v>
      </c>
      <c r="C29" s="88" t="s">
        <v>192</v>
      </c>
      <c r="D29" s="82" t="s">
        <v>193</v>
      </c>
      <c r="E29" s="83" t="s">
        <v>149</v>
      </c>
      <c r="F29" s="88" t="s">
        <v>486</v>
      </c>
      <c r="G29" s="85" t="s">
        <v>134</v>
      </c>
      <c r="H29" s="89"/>
      <c r="I29" s="92"/>
      <c r="J29" s="92"/>
      <c r="K29" s="97"/>
    </row>
    <row r="30" spans="1:11" ht="20.399999999999999" x14ac:dyDescent="0.25">
      <c r="A30" s="79" t="s">
        <v>194</v>
      </c>
      <c r="B30" s="80">
        <v>25</v>
      </c>
      <c r="C30" s="88" t="s">
        <v>195</v>
      </c>
      <c r="D30" s="82" t="s">
        <v>193</v>
      </c>
      <c r="E30" s="83" t="s">
        <v>149</v>
      </c>
      <c r="F30" s="88" t="s">
        <v>486</v>
      </c>
      <c r="G30" s="85" t="s">
        <v>134</v>
      </c>
      <c r="H30" s="89"/>
      <c r="I30" s="92"/>
      <c r="J30" s="92"/>
      <c r="K30" s="98"/>
    </row>
    <row r="31" spans="1:11" ht="20.399999999999999" x14ac:dyDescent="0.25">
      <c r="A31" s="79" t="s">
        <v>196</v>
      </c>
      <c r="B31" s="80">
        <v>26</v>
      </c>
      <c r="C31" s="88" t="s">
        <v>197</v>
      </c>
      <c r="D31" s="82" t="s">
        <v>193</v>
      </c>
      <c r="E31" s="83" t="s">
        <v>149</v>
      </c>
      <c r="F31" s="88" t="s">
        <v>486</v>
      </c>
      <c r="G31" s="85" t="s">
        <v>134</v>
      </c>
      <c r="H31" s="89"/>
      <c r="I31" s="92"/>
      <c r="J31" s="89"/>
      <c r="K31" s="93"/>
    </row>
    <row r="32" spans="1:11" ht="30.6" x14ac:dyDescent="0.25">
      <c r="A32" s="79" t="s">
        <v>198</v>
      </c>
      <c r="B32" s="80">
        <v>27</v>
      </c>
      <c r="C32" s="88" t="s">
        <v>199</v>
      </c>
      <c r="D32" s="82" t="s">
        <v>193</v>
      </c>
      <c r="E32" s="83" t="s">
        <v>149</v>
      </c>
      <c r="F32" s="88" t="s">
        <v>486</v>
      </c>
      <c r="G32" s="85" t="s">
        <v>134</v>
      </c>
      <c r="H32" s="89"/>
      <c r="I32" s="92"/>
      <c r="J32" s="89"/>
      <c r="K32" s="93"/>
    </row>
    <row r="33" spans="1:11" ht="71.400000000000006" x14ac:dyDescent="0.25">
      <c r="A33" s="79" t="s">
        <v>200</v>
      </c>
      <c r="B33" s="80">
        <v>28</v>
      </c>
      <c r="C33" s="88" t="s">
        <v>201</v>
      </c>
      <c r="D33" s="82" t="s">
        <v>193</v>
      </c>
      <c r="E33" s="83" t="s">
        <v>149</v>
      </c>
      <c r="F33" s="88" t="s">
        <v>486</v>
      </c>
      <c r="G33" s="85" t="s">
        <v>134</v>
      </c>
      <c r="H33" s="89"/>
      <c r="I33" s="92"/>
      <c r="J33" s="89"/>
      <c r="K33" s="93"/>
    </row>
    <row r="34" spans="1:11" ht="27" customHeight="1" x14ac:dyDescent="0.25">
      <c r="A34" s="79" t="s">
        <v>202</v>
      </c>
      <c r="B34" s="80">
        <v>29</v>
      </c>
      <c r="C34" s="88" t="s">
        <v>203</v>
      </c>
      <c r="D34" s="82" t="s">
        <v>193</v>
      </c>
      <c r="E34" s="83" t="s">
        <v>149</v>
      </c>
      <c r="F34" s="88" t="s">
        <v>486</v>
      </c>
      <c r="G34" s="85" t="s">
        <v>134</v>
      </c>
      <c r="H34" s="89"/>
      <c r="I34" s="92"/>
      <c r="J34" s="89"/>
      <c r="K34" s="93"/>
    </row>
    <row r="35" spans="1:11" ht="20.399999999999999" x14ac:dyDescent="0.25">
      <c r="A35" s="79" t="s">
        <v>204</v>
      </c>
      <c r="B35" s="80">
        <v>30</v>
      </c>
      <c r="C35" s="88" t="s">
        <v>205</v>
      </c>
      <c r="D35" s="82" t="s">
        <v>193</v>
      </c>
      <c r="E35" s="83" t="s">
        <v>149</v>
      </c>
      <c r="F35" s="88" t="s">
        <v>486</v>
      </c>
      <c r="G35" s="85" t="s">
        <v>134</v>
      </c>
      <c r="H35" s="89"/>
      <c r="I35" s="92"/>
      <c r="J35" s="89"/>
      <c r="K35" s="93"/>
    </row>
    <row r="36" spans="1:11" ht="57.75" customHeight="1" x14ac:dyDescent="0.25">
      <c r="A36" s="99" t="s">
        <v>206</v>
      </c>
      <c r="B36" s="80">
        <v>31</v>
      </c>
      <c r="C36" s="88" t="s">
        <v>207</v>
      </c>
      <c r="D36" s="82" t="s">
        <v>193</v>
      </c>
      <c r="E36" s="83" t="s">
        <v>149</v>
      </c>
      <c r="F36" s="88" t="s">
        <v>487</v>
      </c>
      <c r="G36" s="85" t="s">
        <v>134</v>
      </c>
      <c r="H36" s="89"/>
      <c r="I36" s="92"/>
      <c r="J36" s="89"/>
      <c r="K36" s="93"/>
    </row>
    <row r="37" spans="1:11" ht="20.399999999999999" x14ac:dyDescent="0.25">
      <c r="A37" s="99" t="s">
        <v>208</v>
      </c>
      <c r="B37" s="80">
        <v>32</v>
      </c>
      <c r="C37" s="88" t="s">
        <v>209</v>
      </c>
      <c r="D37" s="82" t="s">
        <v>193</v>
      </c>
      <c r="E37" s="83" t="s">
        <v>149</v>
      </c>
      <c r="F37" s="88" t="s">
        <v>487</v>
      </c>
      <c r="G37" s="85" t="s">
        <v>134</v>
      </c>
      <c r="H37" s="89"/>
      <c r="I37" s="92"/>
      <c r="J37" s="89"/>
      <c r="K37" s="93"/>
    </row>
    <row r="38" spans="1:11" ht="48.75" customHeight="1" x14ac:dyDescent="0.25">
      <c r="A38" s="99" t="s">
        <v>210</v>
      </c>
      <c r="B38" s="80">
        <v>33</v>
      </c>
      <c r="C38" s="88" t="s">
        <v>211</v>
      </c>
      <c r="D38" s="82" t="s">
        <v>193</v>
      </c>
      <c r="E38" s="83" t="s">
        <v>149</v>
      </c>
      <c r="F38" s="88" t="s">
        <v>487</v>
      </c>
      <c r="G38" s="85" t="s">
        <v>134</v>
      </c>
      <c r="H38" s="89"/>
      <c r="I38" s="92"/>
      <c r="J38" s="89"/>
      <c r="K38" s="93"/>
    </row>
    <row r="39" spans="1:11" ht="38.25" customHeight="1" x14ac:dyDescent="0.25">
      <c r="A39" s="99" t="s">
        <v>210</v>
      </c>
      <c r="B39" s="80">
        <v>34</v>
      </c>
      <c r="C39" s="88" t="s">
        <v>212</v>
      </c>
      <c r="D39" s="82" t="s">
        <v>193</v>
      </c>
      <c r="E39" s="83" t="s">
        <v>149</v>
      </c>
      <c r="F39" s="88" t="s">
        <v>487</v>
      </c>
      <c r="G39" s="85" t="s">
        <v>134</v>
      </c>
      <c r="H39" s="89"/>
      <c r="I39" s="92"/>
      <c r="J39" s="89"/>
      <c r="K39" s="93"/>
    </row>
    <row r="40" spans="1:11" ht="40.799999999999997" x14ac:dyDescent="0.25">
      <c r="A40" s="99" t="s">
        <v>213</v>
      </c>
      <c r="B40" s="80">
        <v>35</v>
      </c>
      <c r="C40" s="88" t="s">
        <v>214</v>
      </c>
      <c r="D40" s="82" t="s">
        <v>193</v>
      </c>
      <c r="E40" s="83" t="s">
        <v>149</v>
      </c>
      <c r="F40" s="88" t="s">
        <v>487</v>
      </c>
      <c r="G40" s="85" t="s">
        <v>134</v>
      </c>
      <c r="H40" s="89"/>
      <c r="I40" s="92"/>
      <c r="J40" s="89"/>
      <c r="K40" s="93"/>
    </row>
    <row r="41" spans="1:11" ht="20.399999999999999" x14ac:dyDescent="0.25">
      <c r="A41" s="99" t="s">
        <v>213</v>
      </c>
      <c r="B41" s="80">
        <v>36</v>
      </c>
      <c r="C41" s="88" t="s">
        <v>215</v>
      </c>
      <c r="D41" s="82" t="s">
        <v>193</v>
      </c>
      <c r="E41" s="83" t="s">
        <v>149</v>
      </c>
      <c r="F41" s="88" t="s">
        <v>488</v>
      </c>
      <c r="G41" s="85" t="s">
        <v>134</v>
      </c>
      <c r="H41" s="89"/>
      <c r="I41" s="92"/>
      <c r="J41" s="89"/>
      <c r="K41" s="93"/>
    </row>
    <row r="42" spans="1:11" ht="61.2" x14ac:dyDescent="0.25">
      <c r="A42" s="99" t="s">
        <v>216</v>
      </c>
      <c r="B42" s="80">
        <v>37</v>
      </c>
      <c r="C42" s="88" t="s">
        <v>217</v>
      </c>
      <c r="D42" s="82" t="s">
        <v>218</v>
      </c>
      <c r="E42" s="83" t="s">
        <v>149</v>
      </c>
      <c r="F42" s="88" t="s">
        <v>219</v>
      </c>
      <c r="G42" s="85" t="s">
        <v>134</v>
      </c>
      <c r="H42" s="89"/>
      <c r="I42" s="92"/>
      <c r="J42" s="89"/>
      <c r="K42" s="93"/>
    </row>
    <row r="43" spans="1:11" ht="20.399999999999999" x14ac:dyDescent="0.25">
      <c r="A43" s="99" t="s">
        <v>220</v>
      </c>
      <c r="B43" s="80">
        <v>38</v>
      </c>
      <c r="C43" s="88" t="s">
        <v>221</v>
      </c>
      <c r="D43" s="82" t="s">
        <v>222</v>
      </c>
      <c r="E43" s="83" t="s">
        <v>149</v>
      </c>
      <c r="F43" s="88" t="s">
        <v>489</v>
      </c>
      <c r="G43" s="85" t="s">
        <v>134</v>
      </c>
      <c r="H43" s="89"/>
      <c r="I43" s="92"/>
      <c r="J43" s="89"/>
      <c r="K43" s="93"/>
    </row>
    <row r="44" spans="1:11" ht="30.6" x14ac:dyDescent="0.25">
      <c r="A44" s="99" t="s">
        <v>223</v>
      </c>
      <c r="B44" s="80">
        <v>39</v>
      </c>
      <c r="C44" s="88" t="s">
        <v>224</v>
      </c>
      <c r="D44" s="82" t="s">
        <v>222</v>
      </c>
      <c r="E44" s="83" t="s">
        <v>149</v>
      </c>
      <c r="F44" s="88" t="s">
        <v>490</v>
      </c>
      <c r="G44" s="85" t="s">
        <v>134</v>
      </c>
      <c r="H44" s="89"/>
      <c r="I44" s="92"/>
      <c r="J44" s="89"/>
      <c r="K44" s="93"/>
    </row>
    <row r="45" spans="1:11" ht="44.25" customHeight="1" x14ac:dyDescent="0.25">
      <c r="A45" s="79" t="s">
        <v>225</v>
      </c>
      <c r="B45" s="80">
        <v>40</v>
      </c>
      <c r="C45" s="88" t="s">
        <v>226</v>
      </c>
      <c r="D45" s="82" t="s">
        <v>222</v>
      </c>
      <c r="E45" s="83" t="s">
        <v>227</v>
      </c>
      <c r="F45" s="88" t="s">
        <v>491</v>
      </c>
      <c r="G45" s="85" t="s">
        <v>134</v>
      </c>
      <c r="H45" s="89"/>
      <c r="I45" s="92"/>
      <c r="J45" s="89"/>
      <c r="K45" s="93"/>
    </row>
    <row r="46" spans="1:11" ht="63" customHeight="1" x14ac:dyDescent="0.25">
      <c r="A46" s="79" t="s">
        <v>228</v>
      </c>
      <c r="B46" s="80">
        <v>41</v>
      </c>
      <c r="C46" s="88" t="s">
        <v>229</v>
      </c>
      <c r="D46" s="82" t="s">
        <v>230</v>
      </c>
      <c r="E46" s="83" t="s">
        <v>149</v>
      </c>
      <c r="F46" s="88" t="s">
        <v>231</v>
      </c>
      <c r="G46" s="85" t="s">
        <v>134</v>
      </c>
      <c r="H46" s="89"/>
      <c r="I46" s="92"/>
      <c r="J46" s="89"/>
      <c r="K46" s="93"/>
    </row>
    <row r="47" spans="1:11" ht="42" customHeight="1" x14ac:dyDescent="0.25">
      <c r="A47" s="79" t="s">
        <v>232</v>
      </c>
      <c r="B47" s="80">
        <v>42</v>
      </c>
      <c r="C47" s="88" t="s">
        <v>233</v>
      </c>
      <c r="D47" s="82" t="s">
        <v>234</v>
      </c>
      <c r="E47" s="83" t="s">
        <v>149</v>
      </c>
      <c r="F47" s="88" t="s">
        <v>235</v>
      </c>
      <c r="G47" s="85" t="s">
        <v>134</v>
      </c>
      <c r="H47" s="89"/>
      <c r="I47" s="92"/>
      <c r="J47" s="89"/>
      <c r="K47" s="93"/>
    </row>
    <row r="48" spans="1:11" ht="20.399999999999999" x14ac:dyDescent="0.25">
      <c r="A48" s="79" t="s">
        <v>236</v>
      </c>
      <c r="B48" s="80">
        <v>43</v>
      </c>
      <c r="C48" s="88" t="s">
        <v>237</v>
      </c>
      <c r="D48" s="82" t="s">
        <v>234</v>
      </c>
      <c r="E48" s="83" t="s">
        <v>149</v>
      </c>
      <c r="F48" s="88" t="s">
        <v>231</v>
      </c>
      <c r="G48" s="85" t="s">
        <v>134</v>
      </c>
      <c r="H48" s="89"/>
      <c r="I48" s="92"/>
      <c r="J48" s="92"/>
      <c r="K48" s="97"/>
    </row>
    <row r="49" spans="1:11" ht="44.25" customHeight="1" x14ac:dyDescent="0.25">
      <c r="A49" s="79" t="s">
        <v>236</v>
      </c>
      <c r="B49" s="80">
        <v>44</v>
      </c>
      <c r="C49" s="88" t="s">
        <v>238</v>
      </c>
      <c r="D49" s="82" t="s">
        <v>234</v>
      </c>
      <c r="E49" s="83" t="s">
        <v>149</v>
      </c>
      <c r="F49" s="88" t="s">
        <v>231</v>
      </c>
      <c r="G49" s="85" t="s">
        <v>134</v>
      </c>
      <c r="H49" s="89"/>
      <c r="I49" s="92"/>
      <c r="J49" s="89"/>
      <c r="K49" s="93"/>
    </row>
    <row r="50" spans="1:11" ht="40.799999999999997" x14ac:dyDescent="0.25">
      <c r="A50" s="79" t="s">
        <v>239</v>
      </c>
      <c r="B50" s="80">
        <v>45</v>
      </c>
      <c r="C50" s="88" t="s">
        <v>240</v>
      </c>
      <c r="D50" s="82" t="s">
        <v>241</v>
      </c>
      <c r="E50" s="83" t="s">
        <v>242</v>
      </c>
      <c r="F50" s="88" t="s">
        <v>492</v>
      </c>
      <c r="G50" s="85" t="s">
        <v>134</v>
      </c>
      <c r="H50" s="89"/>
      <c r="I50" s="92"/>
      <c r="J50" s="89"/>
      <c r="K50" s="93"/>
    </row>
    <row r="51" spans="1:11" ht="40.5" customHeight="1" x14ac:dyDescent="0.25">
      <c r="A51" s="79" t="s">
        <v>239</v>
      </c>
      <c r="B51" s="80">
        <v>46</v>
      </c>
      <c r="C51" s="88" t="s">
        <v>243</v>
      </c>
      <c r="D51" s="82" t="s">
        <v>244</v>
      </c>
      <c r="E51" s="83" t="s">
        <v>242</v>
      </c>
      <c r="F51" s="88" t="s">
        <v>492</v>
      </c>
      <c r="G51" s="85" t="s">
        <v>134</v>
      </c>
      <c r="H51" s="89"/>
      <c r="I51" s="92"/>
      <c r="J51" s="89"/>
      <c r="K51" s="93"/>
    </row>
    <row r="52" spans="1:11" ht="36" customHeight="1" x14ac:dyDescent="0.25">
      <c r="A52" s="79" t="s">
        <v>239</v>
      </c>
      <c r="B52" s="80">
        <v>47</v>
      </c>
      <c r="C52" s="96" t="s">
        <v>245</v>
      </c>
      <c r="D52" s="82" t="s">
        <v>246</v>
      </c>
      <c r="E52" s="83" t="s">
        <v>242</v>
      </c>
      <c r="F52" s="88" t="s">
        <v>492</v>
      </c>
      <c r="G52" s="85" t="s">
        <v>134</v>
      </c>
      <c r="H52" s="89"/>
      <c r="I52" s="92"/>
      <c r="J52" s="92"/>
      <c r="K52" s="100"/>
    </row>
    <row r="53" spans="1:11" ht="69.75" customHeight="1" x14ac:dyDescent="0.25">
      <c r="A53" s="79" t="s">
        <v>247</v>
      </c>
      <c r="B53" s="80">
        <v>48</v>
      </c>
      <c r="C53" s="88" t="s">
        <v>248</v>
      </c>
      <c r="D53" s="82" t="s">
        <v>244</v>
      </c>
      <c r="E53" s="83" t="s">
        <v>242</v>
      </c>
      <c r="F53" s="88" t="s">
        <v>492</v>
      </c>
      <c r="G53" s="85" t="s">
        <v>134</v>
      </c>
      <c r="H53" s="89"/>
      <c r="I53" s="92"/>
      <c r="J53" s="89"/>
      <c r="K53" s="93"/>
    </row>
    <row r="54" spans="1:11" ht="34.5" customHeight="1" x14ac:dyDescent="0.25">
      <c r="A54" s="79" t="s">
        <v>247</v>
      </c>
      <c r="B54" s="80">
        <v>49</v>
      </c>
      <c r="C54" s="88" t="s">
        <v>249</v>
      </c>
      <c r="D54" s="82" t="s">
        <v>244</v>
      </c>
      <c r="E54" s="83" t="s">
        <v>242</v>
      </c>
      <c r="F54" s="88" t="s">
        <v>492</v>
      </c>
      <c r="G54" s="85" t="s">
        <v>134</v>
      </c>
      <c r="H54" s="89"/>
      <c r="I54" s="92"/>
      <c r="J54" s="89"/>
      <c r="K54" s="93"/>
    </row>
    <row r="55" spans="1:11" ht="36.75" customHeight="1" x14ac:dyDescent="0.25">
      <c r="A55" s="79" t="s">
        <v>250</v>
      </c>
      <c r="B55" s="80">
        <v>50</v>
      </c>
      <c r="C55" s="88" t="s">
        <v>251</v>
      </c>
      <c r="D55" s="82" t="s">
        <v>252</v>
      </c>
      <c r="E55" s="83" t="s">
        <v>149</v>
      </c>
      <c r="F55" s="88" t="s">
        <v>492</v>
      </c>
      <c r="G55" s="85" t="s">
        <v>134</v>
      </c>
      <c r="H55" s="89"/>
      <c r="I55" s="92"/>
      <c r="J55" s="89"/>
      <c r="K55" s="93"/>
    </row>
    <row r="56" spans="1:11" ht="61.2" x14ac:dyDescent="0.25">
      <c r="A56" s="79" t="s">
        <v>253</v>
      </c>
      <c r="B56" s="80">
        <v>51</v>
      </c>
      <c r="C56" s="88" t="s">
        <v>254</v>
      </c>
      <c r="D56" s="82" t="s">
        <v>255</v>
      </c>
      <c r="E56" s="83" t="s">
        <v>256</v>
      </c>
      <c r="F56" s="88" t="s">
        <v>493</v>
      </c>
      <c r="G56" s="85" t="s">
        <v>134</v>
      </c>
      <c r="H56" s="89"/>
      <c r="I56" s="92"/>
      <c r="J56" s="89"/>
      <c r="K56" s="93"/>
    </row>
    <row r="57" spans="1:11" ht="40.799999999999997" x14ac:dyDescent="0.25">
      <c r="A57" s="79" t="s">
        <v>257</v>
      </c>
      <c r="B57" s="80">
        <v>52</v>
      </c>
      <c r="C57" s="88" t="s">
        <v>258</v>
      </c>
      <c r="D57" s="82" t="s">
        <v>259</v>
      </c>
      <c r="E57" s="83" t="s">
        <v>256</v>
      </c>
      <c r="F57" s="88" t="s">
        <v>493</v>
      </c>
      <c r="G57" s="85" t="s">
        <v>134</v>
      </c>
      <c r="H57" s="89"/>
      <c r="I57" s="92"/>
      <c r="J57" s="89"/>
      <c r="K57" s="93"/>
    </row>
    <row r="58" spans="1:11" ht="40.5" customHeight="1" x14ac:dyDescent="0.25">
      <c r="A58" s="79" t="s">
        <v>260</v>
      </c>
      <c r="B58" s="80">
        <v>53</v>
      </c>
      <c r="C58" s="88" t="s">
        <v>261</v>
      </c>
      <c r="D58" s="82" t="s">
        <v>262</v>
      </c>
      <c r="E58" s="83" t="s">
        <v>256</v>
      </c>
      <c r="F58" s="88" t="s">
        <v>493</v>
      </c>
      <c r="G58" s="85" t="s">
        <v>134</v>
      </c>
      <c r="H58" s="89"/>
      <c r="I58" s="92"/>
      <c r="J58" s="89"/>
      <c r="K58" s="93"/>
    </row>
    <row r="59" spans="1:11" ht="40.799999999999997" x14ac:dyDescent="0.25">
      <c r="A59" s="79" t="s">
        <v>263</v>
      </c>
      <c r="B59" s="80">
        <v>54</v>
      </c>
      <c r="C59" s="88" t="s">
        <v>264</v>
      </c>
      <c r="D59" s="82" t="s">
        <v>265</v>
      </c>
      <c r="E59" s="83" t="s">
        <v>256</v>
      </c>
      <c r="F59" s="88" t="s">
        <v>494</v>
      </c>
      <c r="G59" s="85" t="s">
        <v>134</v>
      </c>
      <c r="H59" s="89"/>
      <c r="I59" s="92"/>
      <c r="J59" s="89"/>
      <c r="K59" s="93"/>
    </row>
    <row r="60" spans="1:11" ht="81.599999999999994" x14ac:dyDescent="0.25">
      <c r="A60" s="79" t="s">
        <v>28</v>
      </c>
      <c r="B60" s="80">
        <v>55</v>
      </c>
      <c r="C60" s="88" t="s">
        <v>266</v>
      </c>
      <c r="D60" s="82" t="s">
        <v>267</v>
      </c>
      <c r="E60" s="83" t="s">
        <v>256</v>
      </c>
      <c r="F60" s="88" t="s">
        <v>268</v>
      </c>
      <c r="G60" s="85" t="s">
        <v>134</v>
      </c>
      <c r="H60" s="89"/>
      <c r="I60" s="92"/>
      <c r="J60" s="89"/>
      <c r="K60" s="93"/>
    </row>
    <row r="61" spans="1:11" ht="81.599999999999994" x14ac:dyDescent="0.25">
      <c r="A61" s="79" t="s">
        <v>269</v>
      </c>
      <c r="B61" s="80">
        <v>56</v>
      </c>
      <c r="C61" s="88" t="s">
        <v>270</v>
      </c>
      <c r="D61" s="82" t="s">
        <v>271</v>
      </c>
      <c r="E61" s="83" t="s">
        <v>159</v>
      </c>
      <c r="F61" s="88" t="s">
        <v>495</v>
      </c>
      <c r="G61" s="85" t="s">
        <v>134</v>
      </c>
      <c r="H61" s="89"/>
      <c r="I61" s="92"/>
      <c r="J61" s="89"/>
      <c r="K61" s="93"/>
    </row>
    <row r="62" spans="1:11" ht="42.75" customHeight="1" x14ac:dyDescent="0.25">
      <c r="A62" s="79" t="s">
        <v>269</v>
      </c>
      <c r="B62" s="80">
        <v>57</v>
      </c>
      <c r="C62" s="88" t="s">
        <v>273</v>
      </c>
      <c r="D62" s="82" t="s">
        <v>274</v>
      </c>
      <c r="E62" s="83" t="s">
        <v>159</v>
      </c>
      <c r="F62" s="88" t="s">
        <v>495</v>
      </c>
      <c r="G62" s="85" t="s">
        <v>134</v>
      </c>
      <c r="H62" s="89"/>
      <c r="I62" s="92"/>
      <c r="J62" s="89"/>
      <c r="K62" s="93"/>
    </row>
    <row r="63" spans="1:11" ht="20.399999999999999" x14ac:dyDescent="0.25">
      <c r="A63" s="79" t="s">
        <v>269</v>
      </c>
      <c r="B63" s="80">
        <v>58</v>
      </c>
      <c r="C63" s="88" t="s">
        <v>275</v>
      </c>
      <c r="D63" s="82" t="s">
        <v>274</v>
      </c>
      <c r="E63" s="83" t="s">
        <v>159</v>
      </c>
      <c r="F63" s="88" t="s">
        <v>495</v>
      </c>
      <c r="G63" s="85" t="s">
        <v>134</v>
      </c>
      <c r="H63" s="89"/>
      <c r="I63" s="92"/>
      <c r="J63" s="89"/>
      <c r="K63" s="93"/>
    </row>
    <row r="64" spans="1:11" ht="30.6" x14ac:dyDescent="0.25">
      <c r="A64" s="79" t="s">
        <v>269</v>
      </c>
      <c r="B64" s="80">
        <v>59</v>
      </c>
      <c r="C64" s="88" t="s">
        <v>276</v>
      </c>
      <c r="D64" s="82" t="s">
        <v>274</v>
      </c>
      <c r="E64" s="83" t="s">
        <v>159</v>
      </c>
      <c r="F64" s="88" t="s">
        <v>277</v>
      </c>
      <c r="G64" s="85" t="s">
        <v>134</v>
      </c>
      <c r="H64" s="89"/>
      <c r="I64" s="92"/>
      <c r="J64" s="89"/>
      <c r="K64" s="93"/>
    </row>
    <row r="65" spans="1:11" ht="20.399999999999999" x14ac:dyDescent="0.25">
      <c r="A65" s="79" t="s">
        <v>269</v>
      </c>
      <c r="B65" s="80">
        <v>60</v>
      </c>
      <c r="C65" s="88" t="s">
        <v>278</v>
      </c>
      <c r="D65" s="82" t="s">
        <v>274</v>
      </c>
      <c r="E65" s="83" t="s">
        <v>159</v>
      </c>
      <c r="F65" s="88" t="s">
        <v>279</v>
      </c>
      <c r="G65" s="85" t="s">
        <v>134</v>
      </c>
      <c r="H65" s="89"/>
      <c r="I65" s="92"/>
      <c r="J65" s="92"/>
      <c r="K65" s="93"/>
    </row>
    <row r="66" spans="1:11" ht="20.399999999999999" x14ac:dyDescent="0.25">
      <c r="A66" s="79" t="s">
        <v>269</v>
      </c>
      <c r="B66" s="80">
        <v>61</v>
      </c>
      <c r="C66" s="88" t="s">
        <v>280</v>
      </c>
      <c r="D66" s="82" t="s">
        <v>274</v>
      </c>
      <c r="E66" s="83" t="s">
        <v>281</v>
      </c>
      <c r="F66" s="88" t="s">
        <v>282</v>
      </c>
      <c r="G66" s="85" t="s">
        <v>134</v>
      </c>
      <c r="H66" s="89"/>
      <c r="I66" s="92"/>
      <c r="J66" s="89"/>
      <c r="K66" s="93"/>
    </row>
    <row r="67" spans="1:11" ht="20.399999999999999" x14ac:dyDescent="0.25">
      <c r="A67" s="79" t="s">
        <v>283</v>
      </c>
      <c r="B67" s="80">
        <v>62</v>
      </c>
      <c r="C67" s="88" t="s">
        <v>284</v>
      </c>
      <c r="D67" s="82" t="s">
        <v>274</v>
      </c>
      <c r="E67" s="83" t="s">
        <v>159</v>
      </c>
      <c r="F67" s="88" t="s">
        <v>285</v>
      </c>
      <c r="G67" s="85" t="s">
        <v>134</v>
      </c>
      <c r="H67" s="89"/>
      <c r="I67" s="92"/>
      <c r="J67" s="89"/>
      <c r="K67" s="93"/>
    </row>
    <row r="68" spans="1:11" ht="42" customHeight="1" x14ac:dyDescent="0.25">
      <c r="A68" s="79" t="s">
        <v>283</v>
      </c>
      <c r="B68" s="80">
        <v>63</v>
      </c>
      <c r="C68" s="88" t="s">
        <v>286</v>
      </c>
      <c r="D68" s="82" t="s">
        <v>274</v>
      </c>
      <c r="E68" s="83" t="s">
        <v>149</v>
      </c>
      <c r="F68" s="88" t="s">
        <v>287</v>
      </c>
      <c r="G68" s="85" t="s">
        <v>134</v>
      </c>
      <c r="H68" s="89"/>
      <c r="I68" s="92"/>
      <c r="J68" s="89"/>
      <c r="K68" s="93"/>
    </row>
    <row r="69" spans="1:11" ht="20.399999999999999" x14ac:dyDescent="0.25">
      <c r="A69" s="79" t="s">
        <v>288</v>
      </c>
      <c r="B69" s="80">
        <v>64</v>
      </c>
      <c r="C69" s="88" t="s">
        <v>289</v>
      </c>
      <c r="D69" s="82" t="s">
        <v>274</v>
      </c>
      <c r="E69" s="83" t="s">
        <v>159</v>
      </c>
      <c r="F69" s="88" t="s">
        <v>272</v>
      </c>
      <c r="G69" s="85" t="s">
        <v>134</v>
      </c>
      <c r="H69" s="89"/>
      <c r="I69" s="92"/>
      <c r="J69" s="89"/>
      <c r="K69" s="93"/>
    </row>
    <row r="70" spans="1:11" ht="40.799999999999997" x14ac:dyDescent="0.25">
      <c r="A70" s="79" t="s">
        <v>290</v>
      </c>
      <c r="B70" s="80">
        <v>65</v>
      </c>
      <c r="C70" s="88" t="s">
        <v>291</v>
      </c>
      <c r="D70" s="82" t="s">
        <v>292</v>
      </c>
      <c r="E70" s="83" t="s">
        <v>281</v>
      </c>
      <c r="F70" s="88"/>
      <c r="G70" s="85" t="s">
        <v>134</v>
      </c>
      <c r="H70" s="89"/>
      <c r="I70" s="92"/>
      <c r="J70" s="89"/>
      <c r="K70" s="93"/>
    </row>
    <row r="71" spans="1:11" ht="51" x14ac:dyDescent="0.25">
      <c r="A71" s="79" t="s">
        <v>293</v>
      </c>
      <c r="B71" s="80">
        <v>66</v>
      </c>
      <c r="C71" s="88" t="s">
        <v>294</v>
      </c>
      <c r="D71" s="82" t="s">
        <v>295</v>
      </c>
      <c r="E71" s="83" t="s">
        <v>281</v>
      </c>
      <c r="F71" s="88" t="s">
        <v>296</v>
      </c>
      <c r="G71" s="85" t="s">
        <v>134</v>
      </c>
      <c r="H71" s="89"/>
      <c r="I71" s="92"/>
      <c r="J71" s="89"/>
      <c r="K71" s="93"/>
    </row>
    <row r="72" spans="1:11" ht="51" x14ac:dyDescent="0.25">
      <c r="A72" s="79" t="s">
        <v>297</v>
      </c>
      <c r="B72" s="80">
        <v>67</v>
      </c>
      <c r="C72" s="88" t="s">
        <v>298</v>
      </c>
      <c r="D72" s="82" t="s">
        <v>299</v>
      </c>
      <c r="E72" s="83" t="s">
        <v>281</v>
      </c>
      <c r="F72" s="88" t="s">
        <v>296</v>
      </c>
      <c r="G72" s="85" t="s">
        <v>134</v>
      </c>
      <c r="H72" s="89"/>
      <c r="I72" s="92"/>
      <c r="J72" s="89"/>
      <c r="K72" s="93"/>
    </row>
    <row r="73" spans="1:11" ht="51" x14ac:dyDescent="0.25">
      <c r="A73" s="79" t="s">
        <v>297</v>
      </c>
      <c r="B73" s="80">
        <v>68</v>
      </c>
      <c r="C73" s="88" t="s">
        <v>300</v>
      </c>
      <c r="D73" s="82" t="s">
        <v>299</v>
      </c>
      <c r="E73" s="83" t="s">
        <v>281</v>
      </c>
      <c r="F73" s="88" t="s">
        <v>296</v>
      </c>
      <c r="G73" s="85" t="s">
        <v>134</v>
      </c>
      <c r="H73" s="89"/>
      <c r="I73" s="92"/>
      <c r="J73" s="89"/>
      <c r="K73" s="93"/>
    </row>
    <row r="74" spans="1:11" ht="20.399999999999999" x14ac:dyDescent="0.25">
      <c r="A74" s="79" t="s">
        <v>297</v>
      </c>
      <c r="B74" s="80">
        <v>69</v>
      </c>
      <c r="C74" s="88" t="s">
        <v>301</v>
      </c>
      <c r="D74" s="82" t="s">
        <v>299</v>
      </c>
      <c r="E74" s="83" t="s">
        <v>281</v>
      </c>
      <c r="F74" s="88" t="s">
        <v>296</v>
      </c>
      <c r="G74" s="85" t="s">
        <v>134</v>
      </c>
      <c r="H74" s="89"/>
      <c r="I74" s="92"/>
      <c r="J74" s="89"/>
      <c r="K74" s="93"/>
    </row>
    <row r="75" spans="1:11" ht="20.399999999999999" x14ac:dyDescent="0.25">
      <c r="A75" s="79" t="s">
        <v>297</v>
      </c>
      <c r="B75" s="80">
        <v>70</v>
      </c>
      <c r="C75" s="88" t="s">
        <v>302</v>
      </c>
      <c r="D75" s="82" t="s">
        <v>299</v>
      </c>
      <c r="E75" s="83" t="s">
        <v>281</v>
      </c>
      <c r="F75" s="88" t="s">
        <v>296</v>
      </c>
      <c r="G75" s="85" t="s">
        <v>134</v>
      </c>
      <c r="H75" s="89"/>
      <c r="I75" s="92"/>
      <c r="J75" s="89"/>
      <c r="K75" s="93"/>
    </row>
    <row r="76" spans="1:11" ht="93.75" customHeight="1" x14ac:dyDescent="0.25">
      <c r="A76" s="79" t="s">
        <v>98</v>
      </c>
      <c r="B76" s="80">
        <v>71</v>
      </c>
      <c r="C76" s="96" t="s">
        <v>303</v>
      </c>
      <c r="D76" s="82" t="s">
        <v>304</v>
      </c>
      <c r="E76" s="83" t="s">
        <v>149</v>
      </c>
      <c r="F76" s="88" t="s">
        <v>305</v>
      </c>
      <c r="G76" s="85" t="s">
        <v>134</v>
      </c>
      <c r="H76" s="92"/>
      <c r="I76" s="92"/>
      <c r="J76" s="89"/>
      <c r="K76" s="93"/>
    </row>
    <row r="77" spans="1:11" ht="30" customHeight="1" x14ac:dyDescent="0.25">
      <c r="A77" s="79" t="s">
        <v>98</v>
      </c>
      <c r="B77" s="80">
        <v>72</v>
      </c>
      <c r="C77" s="88" t="s">
        <v>306</v>
      </c>
      <c r="D77" s="82" t="s">
        <v>307</v>
      </c>
      <c r="E77" s="83" t="s">
        <v>149</v>
      </c>
      <c r="F77" s="88" t="s">
        <v>308</v>
      </c>
      <c r="G77" s="85" t="s">
        <v>134</v>
      </c>
      <c r="H77" s="89"/>
      <c r="I77" s="92"/>
      <c r="J77" s="89"/>
      <c r="K77" s="93"/>
    </row>
    <row r="78" spans="1:11" ht="40.799999999999997" x14ac:dyDescent="0.25">
      <c r="A78" s="79" t="s">
        <v>309</v>
      </c>
      <c r="B78" s="80">
        <v>73</v>
      </c>
      <c r="C78" s="88" t="s">
        <v>310</v>
      </c>
      <c r="D78" s="82" t="s">
        <v>311</v>
      </c>
      <c r="E78" s="83" t="s">
        <v>149</v>
      </c>
      <c r="F78" s="88" t="s">
        <v>312</v>
      </c>
      <c r="G78" s="85" t="s">
        <v>134</v>
      </c>
      <c r="H78" s="89"/>
      <c r="I78" s="92"/>
      <c r="J78" s="89"/>
      <c r="K78" s="93"/>
    </row>
    <row r="79" spans="1:11" ht="71.400000000000006" x14ac:dyDescent="0.25">
      <c r="A79" s="79" t="s">
        <v>313</v>
      </c>
      <c r="B79" s="80">
        <v>74</v>
      </c>
      <c r="C79" s="88" t="s">
        <v>314</v>
      </c>
      <c r="D79" s="82" t="s">
        <v>315</v>
      </c>
      <c r="E79" s="83" t="s">
        <v>149</v>
      </c>
      <c r="F79" s="88" t="s">
        <v>316</v>
      </c>
      <c r="G79" s="85" t="s">
        <v>134</v>
      </c>
      <c r="H79" s="89"/>
      <c r="I79" s="92"/>
      <c r="J79" s="89"/>
      <c r="K79" s="93"/>
    </row>
    <row r="80" spans="1:11" ht="30.6" x14ac:dyDescent="0.25">
      <c r="A80" s="79" t="s">
        <v>313</v>
      </c>
      <c r="B80" s="80">
        <v>75</v>
      </c>
      <c r="C80" s="88" t="s">
        <v>317</v>
      </c>
      <c r="D80" s="82" t="s">
        <v>315</v>
      </c>
      <c r="E80" s="83" t="s">
        <v>149</v>
      </c>
      <c r="F80" s="88" t="s">
        <v>316</v>
      </c>
      <c r="G80" s="85" t="s">
        <v>134</v>
      </c>
      <c r="H80" s="89"/>
      <c r="I80" s="92"/>
      <c r="J80" s="89"/>
      <c r="K80" s="93"/>
    </row>
    <row r="81" spans="1:11" ht="30.6" x14ac:dyDescent="0.25">
      <c r="A81" s="79" t="s">
        <v>318</v>
      </c>
      <c r="B81" s="80">
        <v>76</v>
      </c>
      <c r="C81" s="88" t="s">
        <v>319</v>
      </c>
      <c r="D81" s="82" t="s">
        <v>320</v>
      </c>
      <c r="E81" s="83" t="s">
        <v>321</v>
      </c>
      <c r="F81" s="88" t="s">
        <v>322</v>
      </c>
      <c r="G81" s="85" t="s">
        <v>134</v>
      </c>
      <c r="H81" s="92"/>
      <c r="I81" s="89"/>
      <c r="J81" s="92"/>
      <c r="K81" s="89"/>
    </row>
    <row r="82" spans="1:11" ht="79.5" customHeight="1" x14ac:dyDescent="0.25">
      <c r="A82" s="79" t="s">
        <v>323</v>
      </c>
      <c r="B82" s="80">
        <v>77</v>
      </c>
      <c r="C82" s="88" t="s">
        <v>324</v>
      </c>
      <c r="D82" s="82" t="s">
        <v>325</v>
      </c>
      <c r="E82" s="83" t="s">
        <v>321</v>
      </c>
      <c r="F82" s="88" t="s">
        <v>322</v>
      </c>
      <c r="G82" s="85" t="s">
        <v>134</v>
      </c>
      <c r="H82" s="89"/>
      <c r="I82" s="92"/>
      <c r="J82" s="89"/>
      <c r="K82" s="93"/>
    </row>
    <row r="83" spans="1:11" ht="20.399999999999999" x14ac:dyDescent="0.25">
      <c r="A83" s="79" t="s">
        <v>323</v>
      </c>
      <c r="B83" s="80">
        <v>78</v>
      </c>
      <c r="C83" s="88" t="s">
        <v>326</v>
      </c>
      <c r="D83" s="82" t="s">
        <v>327</v>
      </c>
      <c r="E83" s="83" t="s">
        <v>328</v>
      </c>
      <c r="F83" s="88" t="s">
        <v>322</v>
      </c>
      <c r="G83" s="85" t="s">
        <v>134</v>
      </c>
      <c r="H83" s="89"/>
      <c r="I83" s="92"/>
      <c r="J83" s="89"/>
      <c r="K83" s="93"/>
    </row>
    <row r="84" spans="1:11" ht="20.399999999999999" x14ac:dyDescent="0.25">
      <c r="A84" s="79" t="s">
        <v>323</v>
      </c>
      <c r="B84" s="80">
        <v>79</v>
      </c>
      <c r="C84" s="88" t="s">
        <v>329</v>
      </c>
      <c r="D84" s="82" t="s">
        <v>327</v>
      </c>
      <c r="E84" s="83" t="s">
        <v>328</v>
      </c>
      <c r="F84" s="88" t="s">
        <v>322</v>
      </c>
      <c r="G84" s="85" t="s">
        <v>134</v>
      </c>
      <c r="H84" s="89"/>
      <c r="I84" s="92"/>
      <c r="J84" s="89"/>
      <c r="K84" s="93"/>
    </row>
    <row r="85" spans="1:11" ht="20.399999999999999" x14ac:dyDescent="0.25">
      <c r="A85" s="79" t="s">
        <v>330</v>
      </c>
      <c r="B85" s="80">
        <v>80</v>
      </c>
      <c r="C85" s="88" t="s">
        <v>331</v>
      </c>
      <c r="D85" s="82" t="s">
        <v>327</v>
      </c>
      <c r="E85" s="83" t="s">
        <v>328</v>
      </c>
      <c r="F85" s="88" t="s">
        <v>322</v>
      </c>
      <c r="G85" s="85" t="s">
        <v>134</v>
      </c>
      <c r="H85" s="89"/>
      <c r="I85" s="92"/>
      <c r="J85" s="89"/>
      <c r="K85" s="93"/>
    </row>
    <row r="86" spans="1:11" ht="20.399999999999999" x14ac:dyDescent="0.25">
      <c r="A86" s="79" t="s">
        <v>330</v>
      </c>
      <c r="B86" s="80">
        <v>81</v>
      </c>
      <c r="C86" s="88" t="s">
        <v>332</v>
      </c>
      <c r="D86" s="82" t="s">
        <v>327</v>
      </c>
      <c r="E86" s="83" t="s">
        <v>328</v>
      </c>
      <c r="F86" s="88" t="s">
        <v>322</v>
      </c>
      <c r="G86" s="85" t="s">
        <v>134</v>
      </c>
      <c r="H86" s="89"/>
      <c r="I86" s="92"/>
      <c r="J86" s="89"/>
      <c r="K86" s="93"/>
    </row>
    <row r="87" spans="1:11" ht="20.399999999999999" x14ac:dyDescent="0.25">
      <c r="A87" s="79" t="s">
        <v>330</v>
      </c>
      <c r="B87" s="80">
        <v>82</v>
      </c>
      <c r="C87" s="88" t="s">
        <v>333</v>
      </c>
      <c r="D87" s="82" t="s">
        <v>327</v>
      </c>
      <c r="E87" s="83" t="s">
        <v>328</v>
      </c>
      <c r="F87" s="88" t="s">
        <v>322</v>
      </c>
      <c r="G87" s="85" t="s">
        <v>134</v>
      </c>
      <c r="H87" s="89"/>
      <c r="I87" s="92"/>
      <c r="J87" s="89"/>
      <c r="K87" s="93"/>
    </row>
    <row r="88" spans="1:11" ht="51" x14ac:dyDescent="0.25">
      <c r="A88" s="79" t="s">
        <v>334</v>
      </c>
      <c r="B88" s="80">
        <v>83</v>
      </c>
      <c r="C88" s="88" t="s">
        <v>335</v>
      </c>
      <c r="D88" s="82" t="s">
        <v>336</v>
      </c>
      <c r="E88" s="83" t="s">
        <v>149</v>
      </c>
      <c r="F88" s="88" t="s">
        <v>337</v>
      </c>
      <c r="G88" s="85" t="s">
        <v>134</v>
      </c>
      <c r="H88" s="89"/>
      <c r="I88" s="92"/>
      <c r="J88" s="89"/>
      <c r="K88" s="93"/>
    </row>
    <row r="89" spans="1:11" ht="17.399999999999999" x14ac:dyDescent="0.25">
      <c r="A89" s="79" t="s">
        <v>338</v>
      </c>
      <c r="B89" s="80">
        <v>84</v>
      </c>
      <c r="C89" s="88" t="s">
        <v>339</v>
      </c>
      <c r="D89" s="82" t="s">
        <v>340</v>
      </c>
      <c r="E89" s="83" t="s">
        <v>149</v>
      </c>
      <c r="F89" s="88" t="s">
        <v>341</v>
      </c>
      <c r="G89" s="85" t="s">
        <v>134</v>
      </c>
      <c r="H89" s="89"/>
      <c r="I89" s="92"/>
      <c r="J89" s="89"/>
      <c r="K89" s="93"/>
    </row>
    <row r="90" spans="1:11" ht="20.399999999999999" x14ac:dyDescent="0.25">
      <c r="A90" s="79" t="s">
        <v>342</v>
      </c>
      <c r="B90" s="80">
        <v>85</v>
      </c>
      <c r="C90" s="88" t="s">
        <v>343</v>
      </c>
      <c r="D90" s="82" t="s">
        <v>340</v>
      </c>
      <c r="E90" s="83" t="s">
        <v>149</v>
      </c>
      <c r="F90" s="88" t="s">
        <v>344</v>
      </c>
      <c r="G90" s="85" t="s">
        <v>134</v>
      </c>
      <c r="H90" s="89"/>
      <c r="I90" s="92"/>
      <c r="J90" s="89"/>
      <c r="K90" s="93"/>
    </row>
    <row r="91" spans="1:11" ht="20.399999999999999" x14ac:dyDescent="0.25">
      <c r="A91" s="79" t="s">
        <v>345</v>
      </c>
      <c r="B91" s="80">
        <v>86</v>
      </c>
      <c r="C91" s="88" t="s">
        <v>346</v>
      </c>
      <c r="D91" s="82" t="s">
        <v>340</v>
      </c>
      <c r="E91" s="83" t="s">
        <v>149</v>
      </c>
      <c r="F91" s="88" t="s">
        <v>344</v>
      </c>
      <c r="G91" s="85" t="s">
        <v>134</v>
      </c>
      <c r="H91" s="92"/>
      <c r="I91" s="92"/>
      <c r="J91" s="89"/>
      <c r="K91" s="93"/>
    </row>
    <row r="92" spans="1:11" ht="30.6" x14ac:dyDescent="0.25">
      <c r="A92" s="79" t="s">
        <v>347</v>
      </c>
      <c r="B92" s="80">
        <v>87</v>
      </c>
      <c r="C92" s="88" t="s">
        <v>348</v>
      </c>
      <c r="D92" s="82" t="s">
        <v>340</v>
      </c>
      <c r="E92" s="83" t="s">
        <v>149</v>
      </c>
      <c r="F92" s="88" t="s">
        <v>344</v>
      </c>
      <c r="G92" s="85" t="s">
        <v>134</v>
      </c>
      <c r="H92" s="89"/>
      <c r="I92" s="92"/>
      <c r="J92" s="92"/>
      <c r="K92" s="100"/>
    </row>
    <row r="93" spans="1:11" ht="20.399999999999999" x14ac:dyDescent="0.25">
      <c r="A93" s="79" t="s">
        <v>349</v>
      </c>
      <c r="B93" s="80">
        <v>88</v>
      </c>
      <c r="C93" s="96" t="s">
        <v>350</v>
      </c>
      <c r="D93" s="82" t="s">
        <v>340</v>
      </c>
      <c r="E93" s="83" t="s">
        <v>149</v>
      </c>
      <c r="F93" s="88" t="s">
        <v>344</v>
      </c>
      <c r="G93" s="85" t="s">
        <v>134</v>
      </c>
      <c r="H93" s="89"/>
      <c r="I93" s="92"/>
      <c r="J93" s="89"/>
      <c r="K93" s="93"/>
    </row>
    <row r="94" spans="1:11" ht="20.399999999999999" x14ac:dyDescent="0.25">
      <c r="A94" s="79" t="s">
        <v>351</v>
      </c>
      <c r="B94" s="80">
        <v>89</v>
      </c>
      <c r="C94" s="88" t="s">
        <v>352</v>
      </c>
      <c r="D94" s="82" t="s">
        <v>340</v>
      </c>
      <c r="E94" s="83" t="s">
        <v>149</v>
      </c>
      <c r="F94" s="88" t="s">
        <v>344</v>
      </c>
      <c r="G94" s="85" t="s">
        <v>134</v>
      </c>
      <c r="H94" s="89"/>
      <c r="I94" s="92"/>
      <c r="J94" s="89"/>
      <c r="K94" s="93"/>
    </row>
    <row r="95" spans="1:11" ht="20.399999999999999" x14ac:dyDescent="0.25">
      <c r="A95" s="79" t="s">
        <v>353</v>
      </c>
      <c r="B95" s="80">
        <v>90</v>
      </c>
      <c r="C95" s="88" t="s">
        <v>354</v>
      </c>
      <c r="D95" s="82" t="s">
        <v>340</v>
      </c>
      <c r="E95" s="83" t="s">
        <v>149</v>
      </c>
      <c r="F95" s="88" t="s">
        <v>344</v>
      </c>
      <c r="G95" s="85" t="s">
        <v>134</v>
      </c>
      <c r="H95" s="89"/>
      <c r="I95" s="92"/>
      <c r="J95" s="89"/>
      <c r="K95" s="93"/>
    </row>
    <row r="96" spans="1:11" ht="32.25" customHeight="1" x14ac:dyDescent="0.25">
      <c r="A96" s="79" t="s">
        <v>334</v>
      </c>
      <c r="B96" s="80">
        <v>91</v>
      </c>
      <c r="C96" s="88" t="s">
        <v>355</v>
      </c>
      <c r="D96" s="82" t="s">
        <v>340</v>
      </c>
      <c r="E96" s="83" t="s">
        <v>149</v>
      </c>
      <c r="F96" s="88" t="s">
        <v>344</v>
      </c>
      <c r="G96" s="85" t="s">
        <v>134</v>
      </c>
      <c r="H96" s="89"/>
      <c r="I96" s="92"/>
      <c r="J96" s="89"/>
      <c r="K96" s="93"/>
    </row>
    <row r="97" spans="1:11" ht="71.400000000000006" x14ac:dyDescent="0.25">
      <c r="A97" s="79" t="s">
        <v>30</v>
      </c>
      <c r="B97" s="80">
        <v>92</v>
      </c>
      <c r="C97" s="88" t="s">
        <v>356</v>
      </c>
      <c r="D97" s="82" t="s">
        <v>357</v>
      </c>
      <c r="E97" s="83" t="s">
        <v>242</v>
      </c>
      <c r="F97" s="88" t="s">
        <v>496</v>
      </c>
      <c r="G97" s="85" t="s">
        <v>134</v>
      </c>
      <c r="H97" s="89"/>
      <c r="I97" s="92"/>
      <c r="J97" s="89"/>
      <c r="K97" s="93"/>
    </row>
    <row r="98" spans="1:11" ht="58.5" customHeight="1" x14ac:dyDescent="0.25">
      <c r="A98" s="79" t="s">
        <v>358</v>
      </c>
      <c r="B98" s="80">
        <v>93</v>
      </c>
      <c r="C98" s="88" t="s">
        <v>359</v>
      </c>
      <c r="D98" s="82" t="s">
        <v>360</v>
      </c>
      <c r="E98" s="83" t="s">
        <v>242</v>
      </c>
      <c r="F98" s="88" t="s">
        <v>496</v>
      </c>
      <c r="G98" s="85" t="s">
        <v>134</v>
      </c>
      <c r="H98" s="89"/>
      <c r="I98" s="92"/>
      <c r="J98" s="89"/>
      <c r="K98" s="93"/>
    </row>
    <row r="99" spans="1:11" ht="20.399999999999999" x14ac:dyDescent="0.25">
      <c r="A99" s="79" t="s">
        <v>361</v>
      </c>
      <c r="B99" s="80">
        <v>94</v>
      </c>
      <c r="C99" s="88" t="s">
        <v>362</v>
      </c>
      <c r="D99" s="82" t="s">
        <v>360</v>
      </c>
      <c r="E99" s="83" t="s">
        <v>242</v>
      </c>
      <c r="F99" s="88" t="s">
        <v>496</v>
      </c>
      <c r="G99" s="85" t="s">
        <v>134</v>
      </c>
      <c r="H99" s="89"/>
      <c r="I99" s="92"/>
      <c r="J99" s="89"/>
      <c r="K99" s="93"/>
    </row>
    <row r="100" spans="1:11" ht="20.399999999999999" x14ac:dyDescent="0.25">
      <c r="A100" s="79" t="s">
        <v>363</v>
      </c>
      <c r="B100" s="80">
        <v>95</v>
      </c>
      <c r="C100" s="88" t="s">
        <v>364</v>
      </c>
      <c r="D100" s="82" t="s">
        <v>360</v>
      </c>
      <c r="E100" s="83" t="s">
        <v>242</v>
      </c>
      <c r="F100" s="88" t="s">
        <v>496</v>
      </c>
      <c r="G100" s="85" t="s">
        <v>134</v>
      </c>
      <c r="H100" s="89"/>
      <c r="I100" s="92"/>
      <c r="J100" s="89"/>
      <c r="K100" s="93"/>
    </row>
    <row r="101" spans="1:11" ht="20.399999999999999" x14ac:dyDescent="0.25">
      <c r="A101" s="79" t="s">
        <v>365</v>
      </c>
      <c r="B101" s="80">
        <v>96</v>
      </c>
      <c r="C101" s="88" t="s">
        <v>366</v>
      </c>
      <c r="D101" s="82" t="s">
        <v>360</v>
      </c>
      <c r="E101" s="83" t="s">
        <v>242</v>
      </c>
      <c r="F101" s="88" t="s">
        <v>496</v>
      </c>
      <c r="G101" s="85" t="s">
        <v>134</v>
      </c>
      <c r="H101" s="89"/>
      <c r="I101" s="92"/>
      <c r="J101" s="89"/>
      <c r="K101" s="93"/>
    </row>
    <row r="102" spans="1:11" ht="20.399999999999999" x14ac:dyDescent="0.25">
      <c r="A102" s="79" t="s">
        <v>367</v>
      </c>
      <c r="B102" s="80">
        <v>97</v>
      </c>
      <c r="C102" s="88" t="s">
        <v>368</v>
      </c>
      <c r="D102" s="82" t="s">
        <v>360</v>
      </c>
      <c r="E102" s="83" t="s">
        <v>242</v>
      </c>
      <c r="F102" s="88" t="s">
        <v>496</v>
      </c>
      <c r="G102" s="85" t="s">
        <v>134</v>
      </c>
      <c r="H102" s="89"/>
      <c r="I102" s="92"/>
      <c r="J102" s="89"/>
      <c r="K102" s="93"/>
    </row>
    <row r="103" spans="1:11" ht="20.399999999999999" x14ac:dyDescent="0.25">
      <c r="A103" s="79" t="s">
        <v>30</v>
      </c>
      <c r="B103" s="80">
        <v>98</v>
      </c>
      <c r="C103" s="88" t="s">
        <v>369</v>
      </c>
      <c r="D103" s="82" t="s">
        <v>360</v>
      </c>
      <c r="E103" s="83" t="s">
        <v>242</v>
      </c>
      <c r="F103" s="88" t="s">
        <v>496</v>
      </c>
      <c r="G103" s="85" t="s">
        <v>134</v>
      </c>
      <c r="H103" s="89"/>
      <c r="I103" s="92"/>
      <c r="J103" s="89"/>
      <c r="K103" s="93"/>
    </row>
    <row r="104" spans="1:11" ht="20.399999999999999" x14ac:dyDescent="0.25">
      <c r="A104" s="79" t="s">
        <v>30</v>
      </c>
      <c r="B104" s="80">
        <v>99</v>
      </c>
      <c r="C104" s="88" t="s">
        <v>370</v>
      </c>
      <c r="D104" s="82" t="s">
        <v>360</v>
      </c>
      <c r="E104" s="83" t="s">
        <v>242</v>
      </c>
      <c r="F104" s="88" t="s">
        <v>496</v>
      </c>
      <c r="G104" s="85" t="s">
        <v>134</v>
      </c>
      <c r="H104" s="89"/>
      <c r="I104" s="92"/>
      <c r="J104" s="89"/>
      <c r="K104" s="93"/>
    </row>
    <row r="105" spans="1:11" ht="20.399999999999999" x14ac:dyDescent="0.25">
      <c r="A105" s="79" t="s">
        <v>30</v>
      </c>
      <c r="B105" s="80">
        <v>100</v>
      </c>
      <c r="C105" s="88" t="s">
        <v>371</v>
      </c>
      <c r="D105" s="82" t="s">
        <v>360</v>
      </c>
      <c r="E105" s="83" t="s">
        <v>242</v>
      </c>
      <c r="F105" s="88" t="s">
        <v>496</v>
      </c>
      <c r="G105" s="85" t="s">
        <v>134</v>
      </c>
      <c r="H105" s="89"/>
      <c r="I105" s="92"/>
      <c r="J105" s="89"/>
      <c r="K105" s="93"/>
    </row>
    <row r="106" spans="1:11" ht="20.399999999999999" x14ac:dyDescent="0.25">
      <c r="A106" s="79" t="s">
        <v>30</v>
      </c>
      <c r="B106" s="80">
        <v>101</v>
      </c>
      <c r="C106" s="88" t="s">
        <v>372</v>
      </c>
      <c r="D106" s="82" t="s">
        <v>360</v>
      </c>
      <c r="E106" s="83" t="s">
        <v>242</v>
      </c>
      <c r="F106" s="88" t="s">
        <v>496</v>
      </c>
      <c r="G106" s="85" t="s">
        <v>134</v>
      </c>
      <c r="H106" s="89"/>
      <c r="I106" s="92"/>
      <c r="J106" s="89"/>
      <c r="K106" s="93"/>
    </row>
    <row r="107" spans="1:11" ht="61.2" x14ac:dyDescent="0.25">
      <c r="A107" s="79" t="s">
        <v>31</v>
      </c>
      <c r="B107" s="80">
        <v>102</v>
      </c>
      <c r="C107" s="88" t="s">
        <v>373</v>
      </c>
      <c r="D107" s="82" t="s">
        <v>218</v>
      </c>
      <c r="E107" s="83" t="s">
        <v>242</v>
      </c>
      <c r="F107" s="88" t="s">
        <v>374</v>
      </c>
      <c r="G107" s="85" t="s">
        <v>134</v>
      </c>
      <c r="H107" s="92"/>
      <c r="I107" s="92"/>
      <c r="J107" s="89"/>
      <c r="K107" s="93"/>
    </row>
    <row r="108" spans="1:11" ht="61.2" x14ac:dyDescent="0.25">
      <c r="A108" s="79" t="s">
        <v>31</v>
      </c>
      <c r="B108" s="80">
        <v>103</v>
      </c>
      <c r="C108" s="88" t="s">
        <v>375</v>
      </c>
      <c r="D108" s="82" t="s">
        <v>376</v>
      </c>
      <c r="E108" s="83" t="s">
        <v>242</v>
      </c>
      <c r="F108" s="88" t="s">
        <v>377</v>
      </c>
      <c r="G108" s="85" t="s">
        <v>134</v>
      </c>
      <c r="H108" s="89"/>
      <c r="I108" s="92"/>
      <c r="J108" s="89"/>
      <c r="K108" s="93"/>
    </row>
    <row r="109" spans="1:11" ht="40.799999999999997" x14ac:dyDescent="0.25">
      <c r="A109" s="79" t="s">
        <v>378</v>
      </c>
      <c r="B109" s="80">
        <v>104</v>
      </c>
      <c r="C109" s="88" t="s">
        <v>379</v>
      </c>
      <c r="D109" s="82" t="s">
        <v>380</v>
      </c>
      <c r="E109" s="83" t="s">
        <v>242</v>
      </c>
      <c r="F109" s="88" t="s">
        <v>381</v>
      </c>
      <c r="G109" s="85" t="s">
        <v>134</v>
      </c>
      <c r="H109" s="89"/>
      <c r="I109" s="92"/>
      <c r="J109" s="89"/>
      <c r="K109" s="93"/>
    </row>
    <row r="110" spans="1:11" ht="30.6" x14ac:dyDescent="0.25">
      <c r="A110" s="79" t="s">
        <v>382</v>
      </c>
      <c r="B110" s="80">
        <v>105</v>
      </c>
      <c r="C110" s="88" t="s">
        <v>383</v>
      </c>
      <c r="D110" s="82" t="s">
        <v>380</v>
      </c>
      <c r="E110" s="83" t="s">
        <v>242</v>
      </c>
      <c r="F110" s="88" t="s">
        <v>497</v>
      </c>
      <c r="G110" s="85" t="s">
        <v>134</v>
      </c>
      <c r="H110" s="89"/>
      <c r="I110" s="92"/>
      <c r="J110" s="89"/>
      <c r="K110" s="93"/>
    </row>
    <row r="111" spans="1:11" ht="30.6" x14ac:dyDescent="0.25">
      <c r="A111" s="79" t="s">
        <v>384</v>
      </c>
      <c r="B111" s="80">
        <v>106</v>
      </c>
      <c r="C111" s="88" t="s">
        <v>385</v>
      </c>
      <c r="D111" s="82" t="s">
        <v>380</v>
      </c>
      <c r="E111" s="83" t="s">
        <v>242</v>
      </c>
      <c r="F111" s="88" t="s">
        <v>497</v>
      </c>
      <c r="G111" s="85" t="s">
        <v>134</v>
      </c>
      <c r="H111" s="89"/>
      <c r="I111" s="92"/>
      <c r="J111" s="89"/>
      <c r="K111" s="93"/>
    </row>
    <row r="112" spans="1:11" ht="30.6" x14ac:dyDescent="0.25">
      <c r="A112" s="79" t="s">
        <v>386</v>
      </c>
      <c r="B112" s="80">
        <v>107</v>
      </c>
      <c r="C112" s="88" t="s">
        <v>387</v>
      </c>
      <c r="D112" s="82" t="s">
        <v>380</v>
      </c>
      <c r="E112" s="83" t="s">
        <v>242</v>
      </c>
      <c r="F112" s="88" t="s">
        <v>497</v>
      </c>
      <c r="G112" s="85" t="s">
        <v>134</v>
      </c>
      <c r="H112" s="89"/>
      <c r="I112" s="92"/>
      <c r="J112" s="89"/>
      <c r="K112" s="93"/>
    </row>
    <row r="113" spans="1:11" ht="30.6" x14ac:dyDescent="0.25">
      <c r="A113" s="79" t="s">
        <v>388</v>
      </c>
      <c r="B113" s="80">
        <v>108</v>
      </c>
      <c r="C113" s="88" t="s">
        <v>389</v>
      </c>
      <c r="D113" s="82" t="s">
        <v>390</v>
      </c>
      <c r="E113" s="83" t="s">
        <v>242</v>
      </c>
      <c r="F113" s="88" t="s">
        <v>497</v>
      </c>
      <c r="G113" s="85" t="s">
        <v>134</v>
      </c>
      <c r="H113" s="89"/>
      <c r="I113" s="92"/>
      <c r="J113" s="89"/>
      <c r="K113" s="93"/>
    </row>
    <row r="114" spans="1:11" ht="40.799999999999997" x14ac:dyDescent="0.25">
      <c r="A114" s="79" t="s">
        <v>391</v>
      </c>
      <c r="B114" s="80">
        <v>109</v>
      </c>
      <c r="C114" s="88" t="s">
        <v>392</v>
      </c>
      <c r="D114" s="82" t="s">
        <v>393</v>
      </c>
      <c r="E114" s="83" t="s">
        <v>242</v>
      </c>
      <c r="F114" s="88" t="s">
        <v>497</v>
      </c>
      <c r="G114" s="85" t="s">
        <v>134</v>
      </c>
      <c r="H114" s="89"/>
      <c r="I114" s="92"/>
      <c r="J114" s="89"/>
      <c r="K114" s="93"/>
    </row>
    <row r="115" spans="1:11" ht="30.6" x14ac:dyDescent="0.25">
      <c r="A115" s="79" t="s">
        <v>394</v>
      </c>
      <c r="B115" s="80">
        <v>110</v>
      </c>
      <c r="C115" s="88" t="s">
        <v>395</v>
      </c>
      <c r="D115" s="82" t="s">
        <v>396</v>
      </c>
      <c r="E115" s="83" t="s">
        <v>242</v>
      </c>
      <c r="F115" s="88" t="s">
        <v>497</v>
      </c>
      <c r="G115" s="85" t="s">
        <v>134</v>
      </c>
      <c r="H115" s="89"/>
      <c r="I115" s="92"/>
      <c r="J115" s="89"/>
      <c r="K115" s="93"/>
    </row>
    <row r="116" spans="1:11" ht="30.6" x14ac:dyDescent="0.25">
      <c r="A116" s="79" t="s">
        <v>17</v>
      </c>
      <c r="B116" s="80">
        <v>111</v>
      </c>
      <c r="C116" s="88" t="s">
        <v>397</v>
      </c>
      <c r="D116" s="82" t="s">
        <v>398</v>
      </c>
      <c r="E116" s="83" t="s">
        <v>242</v>
      </c>
      <c r="F116" s="88" t="s">
        <v>498</v>
      </c>
      <c r="G116" s="85" t="s">
        <v>134</v>
      </c>
      <c r="H116" s="89"/>
      <c r="I116" s="92"/>
      <c r="J116" s="89"/>
      <c r="K116" s="93"/>
    </row>
    <row r="117" spans="1:11" ht="20.399999999999999" x14ac:dyDescent="0.25">
      <c r="A117" s="79" t="s">
        <v>399</v>
      </c>
      <c r="B117" s="80">
        <v>112</v>
      </c>
      <c r="C117" s="88" t="s">
        <v>400</v>
      </c>
      <c r="D117" s="82" t="s">
        <v>401</v>
      </c>
      <c r="E117" s="83" t="s">
        <v>242</v>
      </c>
      <c r="F117" s="88" t="s">
        <v>499</v>
      </c>
      <c r="G117" s="85" t="s">
        <v>134</v>
      </c>
      <c r="H117" s="89"/>
      <c r="I117" s="92"/>
      <c r="J117" s="89"/>
      <c r="K117" s="93"/>
    </row>
    <row r="118" spans="1:11" ht="30.6" x14ac:dyDescent="0.25">
      <c r="A118" s="79" t="s">
        <v>402</v>
      </c>
      <c r="B118" s="80">
        <v>113</v>
      </c>
      <c r="C118" s="88" t="s">
        <v>403</v>
      </c>
      <c r="D118" s="82" t="s">
        <v>404</v>
      </c>
      <c r="E118" s="83" t="s">
        <v>242</v>
      </c>
      <c r="F118" s="88" t="s">
        <v>499</v>
      </c>
      <c r="G118" s="85" t="s">
        <v>134</v>
      </c>
      <c r="H118" s="89"/>
      <c r="I118" s="92"/>
      <c r="J118" s="89"/>
      <c r="K118" s="93"/>
    </row>
    <row r="119" spans="1:11" ht="20.399999999999999" x14ac:dyDescent="0.25">
      <c r="A119" s="79" t="s">
        <v>405</v>
      </c>
      <c r="B119" s="80">
        <v>114</v>
      </c>
      <c r="C119" s="88" t="s">
        <v>406</v>
      </c>
      <c r="D119" s="82" t="s">
        <v>404</v>
      </c>
      <c r="E119" s="83" t="s">
        <v>242</v>
      </c>
      <c r="F119" s="88" t="s">
        <v>407</v>
      </c>
      <c r="G119" s="85" t="s">
        <v>134</v>
      </c>
      <c r="H119" s="89"/>
      <c r="I119" s="92"/>
      <c r="J119" s="89"/>
      <c r="K119" s="93"/>
    </row>
    <row r="120" spans="1:11" ht="30.6" x14ac:dyDescent="0.25">
      <c r="A120" s="79" t="s">
        <v>408</v>
      </c>
      <c r="B120" s="80">
        <v>115</v>
      </c>
      <c r="C120" s="88" t="s">
        <v>409</v>
      </c>
      <c r="D120" s="82" t="s">
        <v>404</v>
      </c>
      <c r="E120" s="83" t="s">
        <v>242</v>
      </c>
      <c r="F120" s="88" t="s">
        <v>500</v>
      </c>
      <c r="G120" s="85" t="s">
        <v>134</v>
      </c>
      <c r="H120" s="89"/>
      <c r="I120" s="92"/>
      <c r="J120" s="89"/>
      <c r="K120" s="93"/>
    </row>
    <row r="121" spans="1:11" ht="20.399999999999999" x14ac:dyDescent="0.25">
      <c r="A121" s="79" t="s">
        <v>410</v>
      </c>
      <c r="B121" s="80">
        <v>116</v>
      </c>
      <c r="C121" s="88" t="s">
        <v>411</v>
      </c>
      <c r="D121" s="82" t="s">
        <v>404</v>
      </c>
      <c r="E121" s="83" t="s">
        <v>242</v>
      </c>
      <c r="F121" s="88" t="s">
        <v>412</v>
      </c>
      <c r="G121" s="85" t="s">
        <v>134</v>
      </c>
      <c r="H121" s="89"/>
      <c r="I121" s="92"/>
      <c r="J121" s="89"/>
      <c r="K121" s="93"/>
    </row>
    <row r="122" spans="1:11" ht="20.399999999999999" x14ac:dyDescent="0.25">
      <c r="A122" s="79" t="s">
        <v>413</v>
      </c>
      <c r="B122" s="80">
        <v>117</v>
      </c>
      <c r="C122" s="88" t="s">
        <v>414</v>
      </c>
      <c r="D122" s="82" t="s">
        <v>404</v>
      </c>
      <c r="E122" s="83" t="s">
        <v>242</v>
      </c>
      <c r="F122" s="88" t="s">
        <v>412</v>
      </c>
      <c r="G122" s="85" t="s">
        <v>134</v>
      </c>
      <c r="H122" s="89"/>
      <c r="I122" s="92"/>
      <c r="J122" s="89"/>
      <c r="K122" s="93"/>
    </row>
    <row r="123" spans="1:11" ht="20.399999999999999" x14ac:dyDescent="0.25">
      <c r="A123" s="79" t="s">
        <v>415</v>
      </c>
      <c r="B123" s="80">
        <v>118</v>
      </c>
      <c r="C123" s="88" t="s">
        <v>416</v>
      </c>
      <c r="D123" s="82" t="s">
        <v>404</v>
      </c>
      <c r="E123" s="83" t="s">
        <v>242</v>
      </c>
      <c r="F123" s="88" t="s">
        <v>412</v>
      </c>
      <c r="G123" s="85" t="s">
        <v>134</v>
      </c>
      <c r="H123" s="89"/>
      <c r="I123" s="92"/>
      <c r="J123" s="89"/>
      <c r="K123" s="93"/>
    </row>
    <row r="124" spans="1:11" ht="91.8" x14ac:dyDescent="0.25">
      <c r="A124" s="79" t="s">
        <v>17</v>
      </c>
      <c r="B124" s="80">
        <v>119</v>
      </c>
      <c r="C124" s="88" t="s">
        <v>417</v>
      </c>
      <c r="D124" s="82" t="s">
        <v>418</v>
      </c>
      <c r="E124" s="83" t="s">
        <v>242</v>
      </c>
      <c r="F124" s="88" t="s">
        <v>412</v>
      </c>
      <c r="G124" s="85" t="s">
        <v>134</v>
      </c>
      <c r="H124" s="89"/>
      <c r="I124" s="92"/>
      <c r="J124" s="89"/>
      <c r="K124" s="93"/>
    </row>
    <row r="125" spans="1:11" ht="20.399999999999999" x14ac:dyDescent="0.25">
      <c r="A125" s="79" t="s">
        <v>17</v>
      </c>
      <c r="B125" s="80">
        <v>120</v>
      </c>
      <c r="C125" s="88" t="s">
        <v>419</v>
      </c>
      <c r="D125" s="82" t="s">
        <v>418</v>
      </c>
      <c r="E125" s="83" t="s">
        <v>242</v>
      </c>
      <c r="F125" s="88" t="s">
        <v>412</v>
      </c>
      <c r="G125" s="85" t="s">
        <v>134</v>
      </c>
      <c r="H125" s="89"/>
      <c r="I125" s="92"/>
      <c r="J125" s="89"/>
      <c r="K125" s="93"/>
    </row>
    <row r="126" spans="1:11" ht="30.6" x14ac:dyDescent="0.25">
      <c r="A126" s="79" t="s">
        <v>17</v>
      </c>
      <c r="B126" s="80">
        <v>121</v>
      </c>
      <c r="C126" s="88" t="s">
        <v>420</v>
      </c>
      <c r="D126" s="82" t="s">
        <v>418</v>
      </c>
      <c r="E126" s="83" t="s">
        <v>242</v>
      </c>
      <c r="F126" s="88" t="s">
        <v>501</v>
      </c>
      <c r="G126" s="85" t="s">
        <v>134</v>
      </c>
      <c r="H126" s="89"/>
      <c r="I126" s="92"/>
      <c r="J126" s="89"/>
      <c r="K126" s="93"/>
    </row>
    <row r="127" spans="1:11" ht="61.2" x14ac:dyDescent="0.25">
      <c r="A127" s="79" t="s">
        <v>421</v>
      </c>
      <c r="B127" s="80">
        <v>122</v>
      </c>
      <c r="C127" s="88" t="s">
        <v>422</v>
      </c>
      <c r="D127" s="82" t="s">
        <v>423</v>
      </c>
      <c r="E127" s="83" t="s">
        <v>242</v>
      </c>
      <c r="F127" s="88" t="s">
        <v>424</v>
      </c>
      <c r="G127" s="85" t="s">
        <v>134</v>
      </c>
      <c r="H127" s="89"/>
      <c r="I127" s="92"/>
      <c r="J127" s="89"/>
      <c r="K127" s="93"/>
    </row>
    <row r="128" spans="1:11" ht="30.6" x14ac:dyDescent="0.25">
      <c r="A128" s="79" t="s">
        <v>18</v>
      </c>
      <c r="B128" s="80">
        <v>123</v>
      </c>
      <c r="C128" s="88" t="s">
        <v>425</v>
      </c>
      <c r="D128" s="82" t="s">
        <v>426</v>
      </c>
      <c r="E128" s="83" t="s">
        <v>242</v>
      </c>
      <c r="F128" s="88" t="s">
        <v>427</v>
      </c>
      <c r="G128" s="85" t="s">
        <v>134</v>
      </c>
      <c r="H128" s="89"/>
      <c r="I128" s="92"/>
      <c r="J128" s="89"/>
      <c r="K128" s="93"/>
    </row>
    <row r="129" spans="1:11" ht="30.6" x14ac:dyDescent="0.25">
      <c r="A129" s="99" t="s">
        <v>428</v>
      </c>
      <c r="B129" s="80">
        <v>124</v>
      </c>
      <c r="C129" s="96" t="s">
        <v>429</v>
      </c>
      <c r="D129" s="82" t="s">
        <v>426</v>
      </c>
      <c r="E129" s="83" t="s">
        <v>242</v>
      </c>
      <c r="F129" s="88" t="s">
        <v>502</v>
      </c>
      <c r="G129" s="85" t="s">
        <v>134</v>
      </c>
      <c r="H129" s="89"/>
      <c r="I129" s="92"/>
      <c r="J129" s="89"/>
      <c r="K129" s="93"/>
    </row>
    <row r="130" spans="1:11" ht="71.400000000000006" x14ac:dyDescent="0.25">
      <c r="A130" s="99" t="s">
        <v>430</v>
      </c>
      <c r="B130" s="80">
        <v>125</v>
      </c>
      <c r="C130" s="96" t="s">
        <v>431</v>
      </c>
      <c r="D130" s="82" t="s">
        <v>426</v>
      </c>
      <c r="E130" s="83" t="s">
        <v>242</v>
      </c>
      <c r="F130" s="88" t="s">
        <v>502</v>
      </c>
      <c r="G130" s="85" t="s">
        <v>134</v>
      </c>
      <c r="H130" s="89"/>
      <c r="I130" s="92"/>
      <c r="J130" s="89"/>
      <c r="K130" s="93"/>
    </row>
    <row r="131" spans="1:11" ht="30.6" x14ac:dyDescent="0.25">
      <c r="A131" s="99" t="s">
        <v>432</v>
      </c>
      <c r="B131" s="80">
        <v>126</v>
      </c>
      <c r="C131" s="88" t="s">
        <v>433</v>
      </c>
      <c r="D131" s="82" t="s">
        <v>426</v>
      </c>
      <c r="E131" s="83" t="s">
        <v>242</v>
      </c>
      <c r="F131" s="88" t="s">
        <v>502</v>
      </c>
      <c r="G131" s="85" t="s">
        <v>134</v>
      </c>
      <c r="H131" s="89"/>
      <c r="I131" s="92"/>
      <c r="J131" s="89"/>
      <c r="K131" s="93"/>
    </row>
    <row r="132" spans="1:11" ht="30.6" x14ac:dyDescent="0.25">
      <c r="A132" s="99" t="s">
        <v>434</v>
      </c>
      <c r="B132" s="80">
        <v>127</v>
      </c>
      <c r="C132" s="88" t="s">
        <v>435</v>
      </c>
      <c r="D132" s="82" t="s">
        <v>426</v>
      </c>
      <c r="E132" s="83" t="s">
        <v>242</v>
      </c>
      <c r="F132" s="88" t="s">
        <v>502</v>
      </c>
      <c r="G132" s="85" t="s">
        <v>134</v>
      </c>
      <c r="H132" s="89"/>
      <c r="I132" s="92"/>
      <c r="J132" s="89"/>
      <c r="K132" s="93"/>
    </row>
    <row r="133" spans="1:11" ht="30.6" x14ac:dyDescent="0.25">
      <c r="A133" s="99" t="s">
        <v>436</v>
      </c>
      <c r="B133" s="80">
        <v>128</v>
      </c>
      <c r="C133" s="88" t="s">
        <v>437</v>
      </c>
      <c r="D133" s="82" t="s">
        <v>426</v>
      </c>
      <c r="E133" s="83" t="s">
        <v>242</v>
      </c>
      <c r="F133" s="88" t="s">
        <v>502</v>
      </c>
      <c r="G133" s="85" t="s">
        <v>134</v>
      </c>
      <c r="H133" s="89"/>
      <c r="I133" s="92"/>
      <c r="J133" s="89"/>
      <c r="K133" s="93"/>
    </row>
    <row r="134" spans="1:11" ht="30.6" x14ac:dyDescent="0.25">
      <c r="A134" s="99" t="s">
        <v>438</v>
      </c>
      <c r="B134" s="80">
        <v>129</v>
      </c>
      <c r="C134" s="88" t="s">
        <v>439</v>
      </c>
      <c r="D134" s="82" t="s">
        <v>426</v>
      </c>
      <c r="E134" s="83" t="s">
        <v>242</v>
      </c>
      <c r="F134" s="88" t="s">
        <v>502</v>
      </c>
      <c r="G134" s="85" t="s">
        <v>134</v>
      </c>
      <c r="H134" s="89"/>
      <c r="I134" s="92"/>
      <c r="J134" s="89"/>
      <c r="K134" s="93"/>
    </row>
    <row r="135" spans="1:11" ht="30.6" x14ac:dyDescent="0.25">
      <c r="A135" s="99" t="s">
        <v>440</v>
      </c>
      <c r="B135" s="80">
        <v>130</v>
      </c>
      <c r="C135" s="88" t="s">
        <v>441</v>
      </c>
      <c r="D135" s="82" t="s">
        <v>426</v>
      </c>
      <c r="E135" s="83" t="s">
        <v>242</v>
      </c>
      <c r="F135" s="88" t="s">
        <v>502</v>
      </c>
      <c r="G135" s="85" t="s">
        <v>134</v>
      </c>
      <c r="H135" s="89"/>
      <c r="I135" s="92"/>
      <c r="J135" s="89"/>
      <c r="K135" s="93"/>
    </row>
    <row r="136" spans="1:11" ht="30.6" x14ac:dyDescent="0.25">
      <c r="A136" s="79" t="s">
        <v>18</v>
      </c>
      <c r="B136" s="80">
        <v>131</v>
      </c>
      <c r="C136" s="88" t="s">
        <v>442</v>
      </c>
      <c r="D136" s="82" t="s">
        <v>426</v>
      </c>
      <c r="E136" s="83" t="s">
        <v>242</v>
      </c>
      <c r="F136" s="88" t="s">
        <v>502</v>
      </c>
      <c r="G136" s="85" t="s">
        <v>134</v>
      </c>
      <c r="H136" s="89"/>
      <c r="I136" s="92"/>
      <c r="J136" s="89"/>
      <c r="K136" s="93"/>
    </row>
    <row r="137" spans="1:11" ht="30.6" x14ac:dyDescent="0.25">
      <c r="A137" s="79" t="s">
        <v>18</v>
      </c>
      <c r="B137" s="80">
        <v>132</v>
      </c>
      <c r="C137" s="88" t="s">
        <v>443</v>
      </c>
      <c r="D137" s="82" t="s">
        <v>426</v>
      </c>
      <c r="E137" s="83" t="s">
        <v>242</v>
      </c>
      <c r="F137" s="88" t="s">
        <v>502</v>
      </c>
      <c r="G137" s="85" t="s">
        <v>134</v>
      </c>
      <c r="H137" s="89"/>
      <c r="I137" s="92"/>
      <c r="J137" s="89"/>
      <c r="K137" s="93"/>
    </row>
    <row r="138" spans="1:11" ht="30.6" x14ac:dyDescent="0.25">
      <c r="A138" s="79" t="s">
        <v>18</v>
      </c>
      <c r="B138" s="80">
        <v>133</v>
      </c>
      <c r="C138" s="88" t="s">
        <v>444</v>
      </c>
      <c r="D138" s="82" t="s">
        <v>426</v>
      </c>
      <c r="E138" s="83" t="s">
        <v>242</v>
      </c>
      <c r="F138" s="88" t="s">
        <v>502</v>
      </c>
      <c r="G138" s="85" t="s">
        <v>134</v>
      </c>
      <c r="H138" s="89"/>
      <c r="I138" s="92"/>
      <c r="J138" s="89"/>
      <c r="K138" s="93"/>
    </row>
    <row r="139" spans="1:11" ht="81.599999999999994" x14ac:dyDescent="0.25">
      <c r="A139" s="79" t="s">
        <v>19</v>
      </c>
      <c r="B139" s="80">
        <v>134</v>
      </c>
      <c r="C139" s="88" t="s">
        <v>445</v>
      </c>
      <c r="D139" s="82" t="s">
        <v>446</v>
      </c>
      <c r="E139" s="83" t="s">
        <v>242</v>
      </c>
      <c r="F139" s="88" t="s">
        <v>503</v>
      </c>
      <c r="G139" s="85" t="s">
        <v>134</v>
      </c>
      <c r="H139" s="89"/>
      <c r="I139" s="92"/>
      <c r="J139" s="89"/>
      <c r="K139" s="93"/>
    </row>
    <row r="140" spans="1:11" ht="30.6" x14ac:dyDescent="0.25">
      <c r="A140" s="111" t="s">
        <v>19</v>
      </c>
      <c r="B140" s="80">
        <v>135</v>
      </c>
      <c r="C140" s="88" t="s">
        <v>447</v>
      </c>
      <c r="D140" s="82" t="s">
        <v>446</v>
      </c>
      <c r="E140" s="83" t="s">
        <v>242</v>
      </c>
      <c r="F140" s="88" t="s">
        <v>503</v>
      </c>
      <c r="G140" s="112" t="s">
        <v>134</v>
      </c>
      <c r="H140" s="89"/>
      <c r="I140" s="113"/>
      <c r="J140" s="89"/>
      <c r="K140" s="93"/>
    </row>
    <row r="141" spans="1:11" ht="14.4" x14ac:dyDescent="0.25">
      <c r="A141" s="170"/>
      <c r="B141" s="170" t="s">
        <v>533</v>
      </c>
      <c r="C141" s="115" t="s">
        <v>515</v>
      </c>
      <c r="D141" s="172"/>
      <c r="E141" s="173"/>
      <c r="F141" s="171" t="s">
        <v>525</v>
      </c>
      <c r="G141" s="169" t="s">
        <v>134</v>
      </c>
      <c r="H141" s="169"/>
      <c r="I141" s="169"/>
      <c r="J141" s="169"/>
      <c r="K141" s="169"/>
    </row>
    <row r="142" spans="1:11" ht="14.4" x14ac:dyDescent="0.3">
      <c r="A142" s="170"/>
      <c r="B142" s="170"/>
      <c r="C142" s="116" t="s">
        <v>516</v>
      </c>
      <c r="D142" s="172"/>
      <c r="E142" s="174"/>
      <c r="F142" s="171"/>
      <c r="G142" s="169"/>
      <c r="H142" s="169"/>
      <c r="I142" s="169"/>
      <c r="J142" s="169"/>
      <c r="K142" s="169"/>
    </row>
    <row r="143" spans="1:11" ht="28.8" x14ac:dyDescent="0.3">
      <c r="A143" s="170"/>
      <c r="B143" s="170"/>
      <c r="C143" s="116" t="s">
        <v>517</v>
      </c>
      <c r="D143" s="172"/>
      <c r="E143" s="174"/>
      <c r="F143" s="171"/>
      <c r="G143" s="169"/>
      <c r="H143" s="169"/>
      <c r="I143" s="169"/>
      <c r="J143" s="169"/>
      <c r="K143" s="169"/>
    </row>
    <row r="144" spans="1:11" ht="14.4" x14ac:dyDescent="0.3">
      <c r="A144" s="170"/>
      <c r="B144" s="170"/>
      <c r="C144" s="116" t="s">
        <v>518</v>
      </c>
      <c r="D144" s="172"/>
      <c r="E144" s="174"/>
      <c r="F144" s="171"/>
      <c r="G144" s="169"/>
      <c r="H144" s="169"/>
      <c r="I144" s="169"/>
      <c r="J144" s="169"/>
      <c r="K144" s="169"/>
    </row>
    <row r="145" spans="1:11" ht="14.4" x14ac:dyDescent="0.25">
      <c r="A145" s="170"/>
      <c r="B145" s="170" t="s">
        <v>534</v>
      </c>
      <c r="C145" s="115" t="s">
        <v>520</v>
      </c>
      <c r="D145" s="172"/>
      <c r="E145" s="195"/>
      <c r="F145" s="171" t="s">
        <v>526</v>
      </c>
      <c r="G145" s="169" t="s">
        <v>134</v>
      </c>
      <c r="H145" s="169"/>
      <c r="I145" s="169"/>
      <c r="J145" s="169"/>
      <c r="K145" s="169"/>
    </row>
    <row r="146" spans="1:11" ht="14.4" x14ac:dyDescent="0.3">
      <c r="A146" s="170"/>
      <c r="B146" s="170"/>
      <c r="C146" s="116" t="s">
        <v>519</v>
      </c>
      <c r="D146" s="172"/>
      <c r="E146" s="195"/>
      <c r="F146" s="171"/>
      <c r="G146" s="169"/>
      <c r="H146" s="169"/>
      <c r="I146" s="169"/>
      <c r="J146" s="169"/>
      <c r="K146" s="169"/>
    </row>
    <row r="147" spans="1:11" ht="28.2" customHeight="1" x14ac:dyDescent="0.3">
      <c r="A147" s="170"/>
      <c r="B147" s="170"/>
      <c r="C147" s="116" t="s">
        <v>521</v>
      </c>
      <c r="D147" s="172"/>
      <c r="E147" s="195"/>
      <c r="F147" s="171"/>
      <c r="G147" s="169"/>
      <c r="H147" s="169"/>
      <c r="I147" s="169"/>
      <c r="J147" s="169"/>
      <c r="K147" s="169"/>
    </row>
    <row r="148" spans="1:11" ht="14.4" x14ac:dyDescent="0.3">
      <c r="A148" s="170"/>
      <c r="B148" s="170"/>
      <c r="C148" s="116" t="s">
        <v>522</v>
      </c>
      <c r="D148" s="172"/>
      <c r="E148" s="195"/>
      <c r="F148" s="171"/>
      <c r="G148" s="169"/>
      <c r="H148" s="169"/>
      <c r="I148" s="169"/>
      <c r="J148" s="169"/>
      <c r="K148" s="169"/>
    </row>
    <row r="149" spans="1:11" ht="14.4" x14ac:dyDescent="0.3">
      <c r="A149" s="170"/>
      <c r="B149" s="170"/>
      <c r="C149" s="116" t="s">
        <v>523</v>
      </c>
      <c r="D149" s="172"/>
      <c r="E149" s="195"/>
      <c r="F149" s="171"/>
      <c r="G149" s="169"/>
      <c r="H149" s="169"/>
      <c r="I149" s="169"/>
      <c r="J149" s="169"/>
      <c r="K149" s="169"/>
    </row>
    <row r="150" spans="1:11" ht="14.4" x14ac:dyDescent="0.3">
      <c r="A150" s="170"/>
      <c r="B150" s="170"/>
      <c r="C150" s="116" t="s">
        <v>524</v>
      </c>
      <c r="D150" s="172"/>
      <c r="E150" s="195"/>
      <c r="F150" s="171"/>
      <c r="G150" s="169"/>
      <c r="H150" s="169"/>
      <c r="I150" s="169"/>
      <c r="J150" s="169"/>
      <c r="K150" s="169"/>
    </row>
    <row r="151" spans="1:11" ht="14.4" x14ac:dyDescent="0.25">
      <c r="A151" s="170"/>
      <c r="B151" s="170" t="s">
        <v>535</v>
      </c>
      <c r="C151" s="115" t="s">
        <v>528</v>
      </c>
      <c r="D151" s="170"/>
      <c r="E151" s="195"/>
      <c r="F151" s="170" t="s">
        <v>532</v>
      </c>
      <c r="G151" s="170" t="s">
        <v>134</v>
      </c>
      <c r="H151" s="170"/>
      <c r="I151" s="170"/>
      <c r="J151" s="170"/>
      <c r="K151" s="170"/>
    </row>
    <row r="152" spans="1:11" ht="14.4" x14ac:dyDescent="0.3">
      <c r="A152" s="170"/>
      <c r="B152" s="170"/>
      <c r="C152" s="117" t="s">
        <v>527</v>
      </c>
      <c r="D152" s="170"/>
      <c r="E152" s="195"/>
      <c r="F152" s="170"/>
      <c r="G152" s="170"/>
      <c r="H152" s="170"/>
      <c r="I152" s="170"/>
      <c r="J152" s="170"/>
      <c r="K152" s="170"/>
    </row>
    <row r="153" spans="1:11" ht="14.4" x14ac:dyDescent="0.3">
      <c r="A153" s="170"/>
      <c r="B153" s="170"/>
      <c r="C153" s="116" t="s">
        <v>529</v>
      </c>
      <c r="D153" s="170"/>
      <c r="E153" s="195"/>
      <c r="F153" s="170"/>
      <c r="G153" s="170"/>
      <c r="H153" s="170"/>
      <c r="I153" s="170"/>
      <c r="J153" s="170"/>
      <c r="K153" s="170"/>
    </row>
    <row r="154" spans="1:11" ht="14.4" x14ac:dyDescent="0.3">
      <c r="A154" s="170"/>
      <c r="B154" s="170"/>
      <c r="C154" s="116" t="s">
        <v>530</v>
      </c>
      <c r="D154" s="170"/>
      <c r="E154" s="195"/>
      <c r="F154" s="170"/>
      <c r="G154" s="170"/>
      <c r="H154" s="170"/>
      <c r="I154" s="170"/>
      <c r="J154" s="170"/>
      <c r="K154" s="170"/>
    </row>
    <row r="155" spans="1:11" ht="14.4" x14ac:dyDescent="0.3">
      <c r="A155" s="170"/>
      <c r="B155" s="170"/>
      <c r="C155" s="116" t="s">
        <v>531</v>
      </c>
      <c r="D155" s="170"/>
      <c r="E155" s="195"/>
      <c r="F155" s="170"/>
      <c r="G155" s="170"/>
      <c r="H155" s="170"/>
      <c r="I155" s="170"/>
      <c r="J155" s="170"/>
      <c r="K155" s="170"/>
    </row>
    <row r="156" spans="1:11" ht="15.6" x14ac:dyDescent="0.3">
      <c r="B156" s="104" t="s">
        <v>85</v>
      </c>
      <c r="G156" s="62">
        <v>138</v>
      </c>
      <c r="K156" s="103"/>
    </row>
    <row r="157" spans="1:11" x14ac:dyDescent="0.25">
      <c r="B157" s="62"/>
    </row>
    <row r="158" spans="1:11" x14ac:dyDescent="0.25">
      <c r="B158" s="105" t="s">
        <v>86</v>
      </c>
    </row>
    <row r="159" spans="1:11" x14ac:dyDescent="0.25">
      <c r="B159" s="175" t="s">
        <v>87</v>
      </c>
      <c r="C159" s="175"/>
    </row>
    <row r="160" spans="1:11" x14ac:dyDescent="0.25">
      <c r="B160" s="106"/>
    </row>
    <row r="161" spans="2:6" x14ac:dyDescent="0.25">
      <c r="B161" s="106"/>
    </row>
    <row r="162" spans="2:6" x14ac:dyDescent="0.25">
      <c r="B162" s="105" t="s">
        <v>88</v>
      </c>
    </row>
    <row r="163" spans="2:6" x14ac:dyDescent="0.25">
      <c r="B163" s="176" t="s">
        <v>505</v>
      </c>
      <c r="C163" s="176"/>
    </row>
    <row r="164" spans="2:6" x14ac:dyDescent="0.25">
      <c r="B164" s="176"/>
      <c r="C164" s="176"/>
    </row>
    <row r="165" spans="2:6" x14ac:dyDescent="0.25">
      <c r="B165" s="176"/>
      <c r="C165" s="176"/>
    </row>
    <row r="166" spans="2:6" x14ac:dyDescent="0.25">
      <c r="B166" s="106"/>
    </row>
    <row r="167" spans="2:6" x14ac:dyDescent="0.25">
      <c r="B167" s="106"/>
    </row>
    <row r="168" spans="2:6" x14ac:dyDescent="0.25">
      <c r="B168" s="105" t="s">
        <v>89</v>
      </c>
    </row>
    <row r="169" spans="2:6" x14ac:dyDescent="0.25">
      <c r="B169" s="177"/>
      <c r="C169" s="177"/>
    </row>
    <row r="170" spans="2:6" x14ac:dyDescent="0.25">
      <c r="B170" s="178"/>
      <c r="C170" s="178"/>
    </row>
    <row r="171" spans="2:6" x14ac:dyDescent="0.25">
      <c r="B171" s="106"/>
    </row>
    <row r="174" spans="2:6" ht="15.6" x14ac:dyDescent="0.3">
      <c r="B174" s="104" t="s">
        <v>90</v>
      </c>
    </row>
    <row r="176" spans="2:6" x14ac:dyDescent="0.25">
      <c r="B176" s="101">
        <v>100</v>
      </c>
      <c r="F176" s="62" t="s">
        <v>448</v>
      </c>
    </row>
    <row r="177" spans="6:10" x14ac:dyDescent="0.25">
      <c r="F177" s="62" t="s">
        <v>463</v>
      </c>
    </row>
    <row r="178" spans="6:10" x14ac:dyDescent="0.25">
      <c r="F178" s="107" t="s">
        <v>504</v>
      </c>
      <c r="G178" s="107"/>
      <c r="H178" s="107"/>
      <c r="I178" s="107"/>
      <c r="J178" s="107"/>
    </row>
    <row r="199" spans="5:6" x14ac:dyDescent="0.25">
      <c r="E199" s="108" t="s">
        <v>281</v>
      </c>
      <c r="F199" s="109"/>
    </row>
    <row r="200" spans="5:6" x14ac:dyDescent="0.25">
      <c r="E200" s="108" t="s">
        <v>449</v>
      </c>
      <c r="F200" s="109"/>
    </row>
    <row r="201" spans="5:6" x14ac:dyDescent="0.25">
      <c r="E201" s="108" t="s">
        <v>450</v>
      </c>
      <c r="F201" s="109"/>
    </row>
    <row r="202" spans="5:6" x14ac:dyDescent="0.25">
      <c r="E202" s="108" t="s">
        <v>256</v>
      </c>
      <c r="F202" s="109"/>
    </row>
    <row r="203" spans="5:6" x14ac:dyDescent="0.25">
      <c r="E203" s="108" t="s">
        <v>149</v>
      </c>
      <c r="F203" s="109"/>
    </row>
    <row r="204" spans="5:6" x14ac:dyDescent="0.25">
      <c r="E204" s="108" t="s">
        <v>451</v>
      </c>
      <c r="F204" s="109"/>
    </row>
    <row r="205" spans="5:6" x14ac:dyDescent="0.25">
      <c r="E205" s="110" t="s">
        <v>452</v>
      </c>
      <c r="F205" s="109"/>
    </row>
    <row r="206" spans="5:6" x14ac:dyDescent="0.25">
      <c r="E206" s="108" t="s">
        <v>132</v>
      </c>
    </row>
    <row r="207" spans="5:6" x14ac:dyDescent="0.25">
      <c r="E207" s="108" t="s">
        <v>152</v>
      </c>
    </row>
    <row r="208" spans="5:6" x14ac:dyDescent="0.25">
      <c r="E208" s="102" t="s">
        <v>159</v>
      </c>
    </row>
    <row r="209" spans="5:5" x14ac:dyDescent="0.25">
      <c r="E209" s="102" t="s">
        <v>242</v>
      </c>
    </row>
    <row r="210" spans="5:5" x14ac:dyDescent="0.25">
      <c r="E210" s="110" t="s">
        <v>328</v>
      </c>
    </row>
    <row r="211" spans="5:5" x14ac:dyDescent="0.25">
      <c r="E211" s="110" t="s">
        <v>453</v>
      </c>
    </row>
    <row r="212" spans="5:5" x14ac:dyDescent="0.25">
      <c r="E212" s="110" t="s">
        <v>227</v>
      </c>
    </row>
    <row r="213" spans="5:5" x14ac:dyDescent="0.25">
      <c r="E213" s="110" t="s">
        <v>451</v>
      </c>
    </row>
    <row r="214" spans="5:5" x14ac:dyDescent="0.25">
      <c r="E214" s="110" t="s">
        <v>454</v>
      </c>
    </row>
    <row r="215" spans="5:5" x14ac:dyDescent="0.25">
      <c r="E215" s="110" t="s">
        <v>455</v>
      </c>
    </row>
    <row r="216" spans="5:5" x14ac:dyDescent="0.25">
      <c r="E216" s="110" t="s">
        <v>456</v>
      </c>
    </row>
    <row r="217" spans="5:5" x14ac:dyDescent="0.25">
      <c r="E217" s="110" t="s">
        <v>457</v>
      </c>
    </row>
    <row r="218" spans="5:5" x14ac:dyDescent="0.25">
      <c r="E218" s="102" t="s">
        <v>458</v>
      </c>
    </row>
    <row r="219" spans="5:5" x14ac:dyDescent="0.25">
      <c r="E219" s="108" t="s">
        <v>459</v>
      </c>
    </row>
  </sheetData>
  <autoFilter ref="A4:K140" xr:uid="{00000000-0009-0000-0000-000000000000}">
    <filterColumn colId="6" showButton="0"/>
    <filterColumn colId="7" showButton="0"/>
    <filterColumn colId="8" showButton="0"/>
  </autoFilter>
  <mergeCells count="41">
    <mergeCell ref="I151:I155"/>
    <mergeCell ref="J151:J155"/>
    <mergeCell ref="K151:K155"/>
    <mergeCell ref="D145:D150"/>
    <mergeCell ref="E145:E150"/>
    <mergeCell ref="F145:F150"/>
    <mergeCell ref="D151:D155"/>
    <mergeCell ref="E151:E155"/>
    <mergeCell ref="F151:F155"/>
    <mergeCell ref="G151:G155"/>
    <mergeCell ref="H151:H155"/>
    <mergeCell ref="A1:K1"/>
    <mergeCell ref="C4:C5"/>
    <mergeCell ref="D4:D5"/>
    <mergeCell ref="E4:E5"/>
    <mergeCell ref="F4:F5"/>
    <mergeCell ref="G4:J4"/>
    <mergeCell ref="B159:C159"/>
    <mergeCell ref="B163:C165"/>
    <mergeCell ref="B169:C169"/>
    <mergeCell ref="B170:C170"/>
    <mergeCell ref="A3:C3"/>
    <mergeCell ref="A145:A150"/>
    <mergeCell ref="B145:B150"/>
    <mergeCell ref="A151:A155"/>
    <mergeCell ref="B151:B155"/>
    <mergeCell ref="A141:A144"/>
    <mergeCell ref="B141:B144"/>
    <mergeCell ref="F141:F144"/>
    <mergeCell ref="G141:G144"/>
    <mergeCell ref="H141:H144"/>
    <mergeCell ref="D141:D144"/>
    <mergeCell ref="E141:E144"/>
    <mergeCell ref="G145:G150"/>
    <mergeCell ref="H145:H150"/>
    <mergeCell ref="I141:I144"/>
    <mergeCell ref="J141:J144"/>
    <mergeCell ref="K141:K144"/>
    <mergeCell ref="I145:I150"/>
    <mergeCell ref="J145:J150"/>
    <mergeCell ref="K145:K150"/>
  </mergeCells>
  <dataValidations count="1">
    <dataValidation type="list" allowBlank="1" showInputMessage="1" showErrorMessage="1" sqref="E6:E141 E145" xr:uid="{08F7355D-22AF-4DEA-A527-1AC42FB4D5CE}">
      <formula1>$E$199:$E$217</formula1>
    </dataValidation>
  </dataValidations>
  <printOptions horizontalCentered="1" gridLines="1"/>
  <pageMargins left="0.15748031496062992" right="0.15748031496062992" top="0.47244094488188981" bottom="0.51181102362204722" header="0.23622047244094491" footer="0.23622047244094491"/>
  <pageSetup paperSize="9" scale="75" fitToHeight="0" orientation="landscape" r:id="rId1"/>
  <headerFooter alignWithMargins="0">
    <oddHeader>&amp;L&amp;"Arial,Kalın"&amp;12XYZ</oddHeader>
    <oddFooter>&amp;RY03 F23(1)_07.04.2025</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FB118-DB6C-4A91-94E4-22D78C964467}">
  <dimension ref="A14"/>
  <sheetViews>
    <sheetView workbookViewId="0">
      <selection activeCell="A14" sqref="A14"/>
    </sheetView>
  </sheetViews>
  <sheetFormatPr defaultRowHeight="14.4" x14ac:dyDescent="0.3"/>
  <sheetData>
    <row r="14" spans="1:1" x14ac:dyDescent="0.3">
      <c r="A14" s="11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3</vt:i4>
      </vt:variant>
      <vt:variant>
        <vt:lpstr>Adlandırılmış Aralıklar</vt:lpstr>
      </vt:variant>
      <vt:variant>
        <vt:i4>4</vt:i4>
      </vt:variant>
    </vt:vector>
  </HeadingPairs>
  <TitlesOfParts>
    <vt:vector size="7" baseType="lpstr">
      <vt:lpstr>İK</vt:lpstr>
      <vt:lpstr>45001 İSG</vt:lpstr>
      <vt:lpstr>Sayfa1</vt:lpstr>
      <vt:lpstr>'45001 İSG'!Yazdırma_Alanı</vt:lpstr>
      <vt:lpstr>İK!Yazdırma_Alanı</vt:lpstr>
      <vt:lpstr>'45001 İSG'!Yazdırma_Başlıkları</vt:lpstr>
      <vt:lpstr>İK!Yazdırma_Başlıkları</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2025-04-25T14:59:01Z</dcterms:modified>
</cp:coreProperties>
</file>