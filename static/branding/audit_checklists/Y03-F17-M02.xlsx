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36FB790-8211-471F-9A90-CEFEA463D122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  <sheet name="Sayfa1" sheetId="3" r:id="rId2"/>
  </sheets>
  <definedNames>
    <definedName name="_xlnm.Print_Area" localSheetId="0">'SORU LİSTESİ'!$C$2:$O$71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D19" i="2" l="1"/>
  <c r="D67" i="2" l="1"/>
  <c r="H67" i="2"/>
  <c r="D68" i="2"/>
  <c r="H68" i="2"/>
  <c r="D69" i="2"/>
  <c r="H69" i="2"/>
  <c r="D70" i="2"/>
  <c r="H70" i="2"/>
  <c r="H24" i="2" l="1"/>
  <c r="D24" i="2"/>
  <c r="D23" i="2"/>
  <c r="D22" i="2"/>
  <c r="D21" i="2"/>
  <c r="D20" i="2"/>
  <c r="H19" i="2"/>
  <c r="D18" i="2"/>
  <c r="D17" i="2"/>
  <c r="D16" i="2"/>
  <c r="H23" i="2"/>
  <c r="H22" i="2"/>
  <c r="H21" i="2"/>
  <c r="H20" i="2"/>
  <c r="H18" i="2"/>
  <c r="H17" i="2"/>
  <c r="H15" i="2"/>
  <c r="H16" i="2"/>
  <c r="D15" i="2"/>
  <c r="H13" i="2"/>
  <c r="H14" i="2"/>
  <c r="D13" i="2"/>
  <c r="D14" i="2"/>
  <c r="H12" i="2"/>
  <c r="D12" i="2"/>
  <c r="H11" i="2"/>
  <c r="H10" i="2"/>
  <c r="D11" i="2"/>
  <c r="D10" i="2"/>
  <c r="H9" i="2"/>
  <c r="D9" i="2"/>
  <c r="H8" i="2"/>
  <c r="H7" i="2"/>
  <c r="D8" i="2"/>
  <c r="D7" i="2"/>
</calcChain>
</file>

<file path=xl/sharedStrings.xml><?xml version="1.0" encoding="utf-8"?>
<sst xmlns="http://schemas.openxmlformats.org/spreadsheetml/2006/main" count="345" uniqueCount="160">
  <si>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</si>
  <si>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</si>
  <si>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</si>
  <si>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</si>
  <si>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</si>
  <si>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</si>
  <si>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</si>
  <si>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</si>
  <si>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</si>
  <si>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</si>
  <si>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</si>
  <si>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</si>
  <si>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</si>
  <si>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</si>
  <si>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</si>
  <si>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</si>
  <si>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</si>
  <si>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</si>
  <si>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</si>
  <si>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</si>
  <si>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</si>
  <si>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</si>
  <si>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</si>
  <si>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</si>
  <si>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</si>
  <si>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</si>
  <si>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</si>
  <si>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</si>
  <si>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</si>
  <si>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</si>
  <si>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</si>
  <si>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</si>
  <si>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</si>
  <si>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</si>
  <si>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</si>
  <si>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</si>
  <si>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</si>
  <si>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</si>
  <si>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</si>
  <si>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</si>
  <si>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</si>
  <si>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Kalite Sistem Yöneticisi</t>
  </si>
  <si>
    <t>Ürün gerçekleştirme planlaması yapılıyor mu ?</t>
  </si>
  <si>
    <t>Ürün gerçekleştirme planlaması, ürün kalite hedeflerini, kalite şartlarını belirliyor mu ?</t>
  </si>
  <si>
    <t>Ürün gerçekleştirme planlarına uygun olarak  ürün üretildiğini gösteren kayıtlar mevcut mu ?</t>
  </si>
  <si>
    <t>Niteliksel ürün özellikleri için kabul kriteri sıfır hata olarak mı kullanılmaktadır ?</t>
  </si>
  <si>
    <t>Sözleşmeli müşteri ürünleri, geliştirilmekte olan ürün bilgileri ve ilgili ürün bilgilerinin gizliliği ve güvenliği etkin olarak sağlanmakta mıdır ?</t>
  </si>
  <si>
    <t>Ürün gerçekleştirmeyi etkileyecek değişiklikler ve bu değişikliklerde gösterilecek reaksiyonlar tanımlı mı ?</t>
  </si>
  <si>
    <t>Değişiklikler her defasında doğrulanmakta ve uygulanmadan önce onaylanmakta mıdır ?</t>
  </si>
  <si>
    <t>Müşteriye ait ürün tasarımlarını etkileyen proses değişiklikleri müşterilere yazılı olarak bildiriliyor ve müşteri onayı alnıyor mu ?</t>
  </si>
  <si>
    <t>Yeni ürün devreye almada P. Akış Şeması, P. FMEA çalışması, Kontrol planı ve Malzeme Sertifikası içeren PPAP dosyası sunulmakta mıdır?</t>
  </si>
  <si>
    <t>Yeni ürün devreye almada ürün uygunluk raporu ile birlikte ilk numune sunumu yapılmakta mıdır?</t>
  </si>
  <si>
    <t>Yeni ürün devreye almada proses denetimi ve tam gün üretim adımları takip edilmekte midir?</t>
  </si>
  <si>
    <t>Master numuneler saklanmakta ve gerektiğinde kolayca ulaşılabilmekte midir?</t>
  </si>
  <si>
    <t>İmalat prosesi tasarım girdileri içerisinde hatasızlaştırma (mistake proofing / hatasızlaştırma) kullanılmış mıdır ?</t>
  </si>
  <si>
    <t>Özel karakteristikler; çizimler, akış şemaları, FMEA analizleri, kontrol planları ve iş talimatlarında yer almakta mıdır ?</t>
  </si>
  <si>
    <t>Proses tasarımı dokümanları ve kayıtları belirlenen sıklıklarda ve durumlarda gözden geçirilmekte ve tekrar onaylanmakta mıdır ?</t>
  </si>
  <si>
    <t>İmalat prosesi tasarım çıktıları, doğrulama ve geçerli kılma faaliyetlerine aitt kayıtlar tutulmakta mıdır ?</t>
  </si>
  <si>
    <t>Tedarikçileri de içeren, bir ürün onay prosesi oluşturulmuş ve etkin olarak çalıştırılmakta mıdır ?</t>
  </si>
  <si>
    <t>Ürünün program ömrü boyunca proses tasarımı ve geliştirme faaliyetlerine ait değişikliker tanımlanmakta ve kayıtları tutulmakta mıdır ?</t>
  </si>
  <si>
    <t>İmalat prosesi değişikliklerinde , ürün fizibilite aşamasından başalayarak, ürün onay şartları tümüyle gözden geçirilmekte midir ?</t>
  </si>
  <si>
    <t>İmalat prosesi değişiklikleri, önceden teslim edilmiş ürün ve ürünü oluşturan parçalar üzerindeki değişikliklerin etkisini de içermekte midir ?</t>
  </si>
  <si>
    <t>Ürün onay prosesinin bir parçası olarak, değişikliklerin kayıtları tutulmakta mıdır ?</t>
  </si>
  <si>
    <t>Kontrol planları oluşturulurken FMEA çıktıları kullanılmakta mıdır ?</t>
  </si>
  <si>
    <t>Kontrol planlarında ; kontroller, özel karakteristikler, müşteri bilgileri ve reaksiyon planı belirtiliyor mu ?</t>
  </si>
  <si>
    <t>Kontrol planları  FMEA veya proses tasarımı ve elemanları değiştiğinde revize ediliyor mu ?</t>
  </si>
  <si>
    <t>Kontrol planları, müşterilerin istediği durumlarda, müşteri tarafından onaylı mı ?</t>
  </si>
  <si>
    <t>Çalışanların kullanımı için kontrol planlarından türetilmiş, yapılan işi tehlikeye atmayan noktalarda, ulaşılabilir iş talimatları mevcut mu , etkin mi ?</t>
  </si>
  <si>
    <t>Her imalat çevrimi başlangıcında ve önemli imalat olaylarında (malzeme değişimi vb) iş ayarları onaylanıyor ve onay kayıtları tutuluyor mu ?</t>
  </si>
  <si>
    <t>İş ayarları için , ulaşılabilir ve etkin olarak uygulanan iş talimatları mevcut mu ?</t>
  </si>
  <si>
    <t>İş ayarlarının onaylanmasında daha önceki partilerde onaylanmış örnekler kullanılıyor mu ?</t>
  </si>
  <si>
    <t>İşlemler sonrasında % 100 doğrulanamayan veya doğrulamanın ekonomik olmadığı işlemlerde geçerli kılma işlemi yapılıyor mu ?</t>
  </si>
  <si>
    <t>Geçerli kılma işlemi , ürün gerçekleştirme planlarındaki kriterleri yerine getirebiliyor mu ?</t>
  </si>
  <si>
    <t>Geçerli kılma işlemi; proseslerin / teçhizatın / personelin onaylanması ya da belirli yöntemlerin kullanılması şeklinde düzenlemeleri içeriyor mu ?</t>
  </si>
  <si>
    <t>Geçerli kılınan işlemlerdeki önemli değişikliklerde yeniden geçerli kılma uygulanıyor mu ?</t>
  </si>
  <si>
    <t>Ürün onay şartlarının gözden geçirilmesi için, yılda bir, yerleşim ve fonksiyonellik muayenesi yapılmakta mıdır ?</t>
  </si>
  <si>
    <t>Yerleşim muayenesi ve fonksiyonel testler kontrol planlarında gösterilmiş mi ?</t>
  </si>
  <si>
    <t>Görünüm parçaları için müşteri vazgeçmesi mevcut mu ?</t>
  </si>
  <si>
    <t>8.1.1</t>
  </si>
  <si>
    <t>8.1</t>
  </si>
  <si>
    <t>8.3.4.2</t>
  </si>
  <si>
    <t>8.3.3</t>
  </si>
  <si>
    <t>8.6.6</t>
  </si>
  <si>
    <t>10.2.4</t>
  </si>
  <si>
    <t>8.3.3.3</t>
  </si>
  <si>
    <t>8.3.5.2</t>
  </si>
  <si>
    <t>8.6.2</t>
  </si>
  <si>
    <t>İş ayarı onayında SPC yaklaşımı ile tolerans içerisinde hedef değer belirleniyor ve kullanılıyor mu ?</t>
  </si>
  <si>
    <t xml:space="preserve">Müşteriden gelen yeni ürün talepleri için fizibilite çalışması metodları ve sorumluluklar tanımlanmış mı ve uygulanmakta mı? </t>
  </si>
  <si>
    <t>Ürün gerçekleştirme planlaması; işlem adımlarını ve ürün kaynak ihtiyaçlarını   (makine, kalıp, ölçüm ekipmanı, hammadde vb) açık bir şekilde ortaya koyuyor mu ?</t>
  </si>
  <si>
    <t xml:space="preserve">Belirlenen ölçüm ekipmanları / sistemleri / operatörleri çin yeterlilik analizleri (MSA) planlanmış ve gerçekleştirilmekte midir? </t>
  </si>
  <si>
    <t xml:space="preserve">Proses kontrollerinin geçici olarak değiştirilmesine yönelik metodlar kontrol planları ve ilgili operasyon talimatlarında tanımlanmış mıdır? </t>
  </si>
  <si>
    <t>8.5.6.1.1</t>
  </si>
  <si>
    <t xml:space="preserve">Fizibilite çalışması sonucu müşteri ile temasla ilgili sorumluluklar tanımlanmış mıdır? Proses tasarımı  ve geliştirme faaliyetlerinde ekip çalışmaları fonksiyonlararası bir anlayış ile mi gerçekleştirilmektedir ? </t>
  </si>
  <si>
    <t xml:space="preserve">Yeni Ürün Devreye Alma faaliyetlerinde ekip çalışmaları fonksiyonlararası bir anlayış ile mi gerçekleştirilmektedir ? </t>
  </si>
  <si>
    <t>8.2.3.1.3</t>
  </si>
  <si>
    <t>8.3.2</t>
  </si>
  <si>
    <t>8.2.3.1.2</t>
  </si>
  <si>
    <t>8.3.6.1</t>
  </si>
  <si>
    <t>8.3.3.2</t>
  </si>
  <si>
    <t>8.5.1.2</t>
  </si>
  <si>
    <t>8.3.5.1</t>
  </si>
  <si>
    <t>8.3.4.1</t>
  </si>
  <si>
    <t>8.3.4.4</t>
  </si>
  <si>
    <t>8.3.4.3</t>
  </si>
  <si>
    <t>Satış &amp; Proje Yöneticisi</t>
  </si>
  <si>
    <t>G.Ünlü, F.Ünal, F.Gündüz</t>
  </si>
  <si>
    <t>√</t>
  </si>
  <si>
    <t>DENETİM BULGULARI:</t>
  </si>
  <si>
    <t xml:space="preserve">1) Uygunsuzluklar: </t>
  </si>
  <si>
    <t>2) Kuvvetli Yönler:</t>
  </si>
  <si>
    <t>3) İyileştirme Önerileri:</t>
  </si>
  <si>
    <t>DENETİM SONUCU:</t>
  </si>
  <si>
    <t>İsim Soyisim</t>
  </si>
  <si>
    <t>Laboratuvarda mastar numnler ölçüsel ve görsel olarak kontrol edilmek üzere saklanmaktadır.</t>
  </si>
  <si>
    <t>Ana Referansı:T2 P03 Yeni Ürün Devreye Alma Prosedürü&amp;T2 P01 Proje Yönetimi Proses Şeması&amp;T2 P02 ÜRÜN GÜVENLİĞİ PROSEDÜRÜ</t>
  </si>
  <si>
    <t>D4.1 F08 SÜREÇ RİSK ANALİZİ T2 Yeni Ürün Devreye Alma Yönetimi+</t>
  </si>
  <si>
    <t>Müşteri memnuniyeti ölçülmektedir. Canias  Salt72 Müşteri Teslimat ve kalite değerlendirmesi gözlendi.</t>
  </si>
  <si>
    <t>D4.2 P01 Strateji Yönetimi ve Kurumsal İletişim Prosedürü+D4.3 T01 İletişim Talimatı</t>
  </si>
  <si>
    <t>Sistem ve donanım şartları sağlanmıştır. Yazılım proğramı canias ile deteklenmektedir.</t>
  </si>
  <si>
    <t>T2 P01 Proje Yönetimi Proses Şeması-T2 P03 Yeni Ürün Devreye Alma Prosedürü</t>
  </si>
  <si>
    <t>D4.2 T01 Kalite Politikası erişileilir. Dijitalde ve hardcopy olarak işletmede mevcuttur. Web sitesinde de yayınlanmaktadır.</t>
  </si>
  <si>
    <t>Personel yeterlilikleri gerçeklştirilmektedir. D2 T23 Görev Tanımı - Kalite Kontrol Operatörleri+ görev tanımları mevcut olup, düzenli olarak yetkinlikleri takip edilmektedir.</t>
  </si>
  <si>
    <t>Ekip çalışması ve iletişiminin olduğu gözlendi.</t>
  </si>
  <si>
    <t>Müşteri isteğine bağlı olarak mail yada kalite doküman portalında onaya sunulmaktadır.</t>
  </si>
  <si>
    <t>D8.5 P01 Değişikliklerin Yönetimi Prosedürü-D8.5 F01 Değişikliklerin Yönetimi Tablosu</t>
  </si>
  <si>
    <t>D8.7 T063 Valeo - 485544 final kontrol talimatının mevcut ve sahada olduğu gözlendi.</t>
  </si>
  <si>
    <t>D8.2 P2.01 Ürünlerin İzlenmesi ve Ölçülmesi Prosedürü- Canias DBKT02 de prose onay kayıtları mecuttur.</t>
  </si>
  <si>
    <t>D8.2 P2.01 Ürünlerin İzlenmesi ve Ölçülmesi Prosedürü- Canias QLTT18 de SPC kayıtları otomatik olarak alınabilmektedir.</t>
  </si>
  <si>
    <t>Yıllık olarak YGG de gözden geçirilmektedir.</t>
  </si>
  <si>
    <t>Ürün sunumu ile ilgili Müşteri portalının ilgili  stage ürün uygunluk raporu ve istenen dokümanlar yüklenmektedir. Portal kullanılmayan müşterilerde numune sunumu ile birlikte mail yoluyla IS raporu sunulmaktadır.</t>
  </si>
  <si>
    <t>D8.5 P01 Değişikliklerin Yönetimi Prosedürü</t>
  </si>
  <si>
    <t>Seri imalat onay raporları mevcuttur. DBKT 02 de spk-yda gibi ölçüm raporları mevcuttur.</t>
  </si>
  <si>
    <t>Ürün kontrollerinin Canias ERP üzerinden gerçekleşmesi tüm sistemin birbirine bağlı olması tüm veri kayıtlarına ulaşılabiliyor olması yazılımın kullanılması ve personelin etkin olarak kullanması kuvvetli bir yöndür.</t>
  </si>
  <si>
    <t>O.Yalçın-Funda Akay</t>
  </si>
  <si>
    <t>2 ad Proses denetimi gerçekleştirilmiş.D8.6 F02 Proses Denetimi 698637-26.01.2024 &amp; Process Audit _Rain Cap_15.01.2024</t>
  </si>
  <si>
    <t>Günlük QRQC toplantıları ve yıllık olarak YGG de gözden geçirilmektedir.</t>
  </si>
  <si>
    <t>QLTT 07 Düzeltici faaliyetler düzenlenmekte ve tüm  Listede takip edilmektedir.Müşteri Şikayeti - 564327 blade üzerinde çapak+pahsız 10.10.2024 tarihinde kapatılmış olan müşteri şikayeti incelendi.</t>
  </si>
  <si>
    <t>Süreç Bazlı YGG toplantıları gerçekleştirilmekte ve analiz ve değerlendirmeler gerçekleştirilmektedir.</t>
  </si>
  <si>
    <t>Personel yeterlilikleri gerçeklştirilmektedir. D2 T23 Görev Tanımı - Kalite Kontrol Operatörleri+ görev tanımları mevcut olup, düzenli olarak yetkinlikleri takip edilmektedir.D2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</si>
  <si>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D2.1 P01 Eğitim Prosedürü- Eğitim planına uygun olarak Canias TRNT21 de eğitim kayıtları mevcuttur.D2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</si>
  <si>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T2 P01 Proje Yönetimi Proses Şeması-T2 P03 Yeni Ürün Devreye Alma Prosedürü-27.03.2024 tarihinde yeni kalıp Switch Cover 222747-2.kalıp ürünü için fizibilite raporu gözlendi.</t>
  </si>
  <si>
    <t>T2 P03 Yeni Ürün Devreye Alma Prosedürü</t>
  </si>
  <si>
    <t>T2 P03 Yeni Ürün Devreye Alma Prosedürü,D4.4 F06 Tüm Süreçler Performans İzleme Tablosu 2024 Kurumsal Karnede de hedefler aktarılarak takip edilmketedir.</t>
  </si>
  <si>
    <t>FMEA ve Control planlarında belirtilmektedir.</t>
  </si>
  <si>
    <t>D8.3 P01 Ölçüm Sistemlerinin Yönetimi Prosedürü-MSA çalışmaları mevcuttur. 'Ölçüm aletlerinin yeterlilik raporlarına rastlandı.S.Cover 17.75  Kompratör Ölçüm cihazı -Ölçüm Cihazı Tekrarlanabilirlik ve Tekrar Yapılabilirlik Veri Sayfası nda mevcuttur.</t>
  </si>
  <si>
    <t>Kontol planı ile FMEA nın uygun olduğu gözlendi.119 nolu PFMEA 564327+ (19.03.2022)ve 119 nolu Kontrol Planı. Ürün no: S.Cover 564327(rev1 01.02.2024)</t>
  </si>
  <si>
    <t>119 nolu Kontrol Planı. Ürün no: S.Cover 564327 içerisinde özel karaktersitikler, sıklıklar, kontrol yöntemleri belirlenmiştir17.75 ±0.1 (with comparator) ölçüsünün kritik olduğu kontrol sıklığı ve methodunun belirtildiği görüldü.</t>
  </si>
  <si>
    <t>İş talimatlarına sahada rastlandı.  İş ayar verileri canias AUTT28 üzerinde vardiya operatörü tarafından kayıt altına alınaktadır</t>
  </si>
  <si>
    <t>T2 P03 Yeni Ürün Devreye Alma Prosedürü-D8.3 P01 Ölçüm Sistemlerinin Yönetimi Prosedürü</t>
  </si>
  <si>
    <t>Design Review Çalışmaları yapılarak müşteriye iletilmektedir.Design_Review_With_Supplier- 564327-13 cDec 2021 tarihinde imzalanmıştır.</t>
  </si>
  <si>
    <t>D8.5 P01 Değişikliklerin Yönetimi Prosedürü-D8.5 F01 Değişikliklerin Yönetimi Tablosu YGG raporlarında süreçte gözden geçirilmektedir.</t>
  </si>
  <si>
    <t>119 nolu Kontrol Planı. Ürün no: S.Cover 564327 rev1 01.02.2024 yerleşim muayenesi belirtilmiştir.Tüm karakteristiklerin kontrol sıklığı belirtilmiştir.</t>
  </si>
  <si>
    <t>119 nolu Kontrol Planı. Ürün no: S.Cover 564327 rev1 01.02.2024 yerleşim muayenesi belirtilmiştir.03.02.2024 tarihinde 186964 ün muayenesinin gerçekleştirildiği görüldü.</t>
  </si>
  <si>
    <t>D4.4 F06 Tüm Süreçler Performans İzleme Tablosu 2024</t>
  </si>
  <si>
    <t>uygunsuzluk tespit edilmemiştir.</t>
  </si>
  <si>
    <t>Onur Yalçın-funda akay</t>
  </si>
  <si>
    <t>İmza ve tarih : 15.05.2024</t>
  </si>
  <si>
    <t>Denetim Tarihi ve Kodu:</t>
  </si>
  <si>
    <t>M02 Yeni Ürün Devreye 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</si>
</sst>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sz val="11"/>
      <name val="Arial"/>
      <family val="2"/>
      <charset val="162"/>
    </font>
    <font>
      <b/>
      <sz val="10"/>
      <color theme="1"/>
      <name val="Arial"/>
      <family val="2"/>
      <charset val="162"/>
    </font>
    <font>
      <sz val="14"/>
      <color theme="1"/>
      <name val="Arial Tur"/>
      <charset val="162"/>
    </font>
    <font>
      <b/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  <font>
      <b/>
      <sz val="8"/>
      <color theme="1"/>
      <name val="Arial"/>
      <family val="2"/>
      <charset val="162"/>
    </font>
    <font>
      <sz val="11"/>
      <color rgb="FFFF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5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10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6" xfId="0" quotePrefix="1" applyFont="1" applyFill="1" applyBorder="1" applyAlignment="1">
      <alignment horizontal="left" vertical="center" wrapText="1"/>
    </xf>
    <xf numFmtId="0" fontId="4" fillId="4" borderId="6" xfId="0" quotePrefix="1" applyFont="1" applyFill="1" applyBorder="1" applyAlignment="1">
      <alignment horizontal="left" vertical="center" wrapText="1"/>
    </xf>
    <xf numFmtId="49" fontId="7" fillId="0" borderId="6" xfId="0" quotePrefix="1" applyNumberFormat="1" applyFont="1" applyBorder="1" applyAlignment="1">
      <alignment horizontal="center" vertical="center" wrapText="1"/>
    </xf>
    <xf numFmtId="0" fontId="1" fillId="0" borderId="6" xfId="0" applyFont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3" fillId="5" borderId="0" xfId="0" applyFont="1" applyFill="1"/>
    <xf numFmtId="0" fontId="0" fillId="5" borderId="0" xfId="0" applyFill="1"/>
    <xf numFmtId="0" fontId="14" fillId="5" borderId="0" xfId="0" applyFont="1" applyFill="1"/>
    <xf numFmtId="0" fontId="15" fillId="5" borderId="0" xfId="0" applyFont="1" applyFill="1"/>
    <xf numFmtId="0" fontId="4" fillId="3" borderId="10" xfId="0" applyFont="1" applyFill="1" applyBorder="1" applyAlignment="1">
      <alignment horizontal="left"/>
    </xf>
    <xf numFmtId="0" fontId="0" fillId="3" borderId="12" xfId="0" applyFill="1" applyBorder="1"/>
    <xf numFmtId="0" fontId="0" fillId="3" borderId="9" xfId="0" applyFill="1" applyBorder="1"/>
    <xf numFmtId="0" fontId="4" fillId="5" borderId="0" xfId="0" applyFont="1" applyFill="1" applyAlignment="1">
      <alignment horizontal="left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49" fontId="1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49" fontId="2" fillId="3" borderId="0" xfId="0" applyNumberFormat="1" applyFont="1" applyFill="1" applyAlignment="1">
      <alignment horizontal="center" vertical="center"/>
    </xf>
    <xf numFmtId="0" fontId="9" fillId="0" borderId="0" xfId="0" applyFont="1"/>
    <xf numFmtId="0" fontId="16" fillId="2" borderId="2" xfId="0" quotePrefix="1" applyFont="1" applyFill="1" applyBorder="1" applyAlignment="1">
      <alignment horizontal="left" vertical="center"/>
    </xf>
    <xf numFmtId="0" fontId="16" fillId="2" borderId="2" xfId="0" applyFont="1" applyFill="1" applyBorder="1"/>
    <xf numFmtId="0" fontId="9" fillId="2" borderId="2" xfId="0" applyFont="1" applyFill="1" applyBorder="1"/>
    <xf numFmtId="0" fontId="17" fillId="2" borderId="2" xfId="0" quotePrefix="1" applyFont="1" applyFill="1" applyBorder="1" applyAlignment="1">
      <alignment horizontal="left" vertical="center"/>
    </xf>
    <xf numFmtId="0" fontId="9" fillId="3" borderId="0" xfId="0" applyFont="1" applyFill="1"/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8" fillId="3" borderId="0" xfId="0" applyFont="1" applyFill="1"/>
    <xf numFmtId="0" fontId="9" fillId="0" borderId="6" xfId="0" applyFont="1" applyBorder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O89"/>
  <sheetViews>
    <sheetView showGridLines="0" tabSelected="1" zoomScale="85" zoomScaleNormal="85" workbookViewId="0">
      <pane ySplit="6" topLeftCell="A64" activePane="bottomLeft" state="frozen"/>
      <selection pane="bottomLeft" activeCell="I64" sqref="I64:J64"/>
    </sheetView>
  </sheetViews>
  <sheetFormatPr defaultColWidth="9.109375" defaultRowHeight="13.8" x14ac:dyDescent="0.25"/>
  <cols>
    <col min="1" max="1" width="3.44140625" style="1" customWidth="1"/>
    <col min="2" max="2" width="4" style="9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1" customWidth="1"/>
    <col min="8" max="8" width="10.5546875" style="11" customWidth="1"/>
    <col min="9" max="9" width="13.6640625" style="49" customWidth="1"/>
    <col min="10" max="10" width="31.6640625" style="49" customWidth="1"/>
    <col min="11" max="14" width="5.109375" style="1" customWidth="1"/>
    <col min="15" max="15" width="9.77734375" style="1" customWidth="1"/>
    <col min="16" max="16384" width="9.109375" style="1"/>
  </cols>
  <sheetData>
    <row r="1" spans="2:15" ht="6.75" customHeight="1" x14ac:dyDescent="0.25"/>
    <row r="2" spans="2:15" ht="21" x14ac:dyDescent="0.4">
      <c r="C2" s="16" t="s">
        <v>0</v>
      </c>
      <c r="D2" s="16"/>
      <c r="E2" s="17"/>
      <c r="F2" s="17"/>
      <c r="G2" s="75" t="s">
        <v>36</v>
      </c>
      <c r="H2" s="75"/>
      <c r="I2" s="50" t="s">
        <v>159</v>
      </c>
      <c r="J2" s="51"/>
      <c r="K2" s="17"/>
      <c r="L2" s="17"/>
      <c r="M2" s="17"/>
      <c r="N2" s="17"/>
      <c r="O2" s="18"/>
    </row>
    <row r="3" spans="2:15" ht="21" x14ac:dyDescent="0.4">
      <c r="C3" s="32" t="s">
        <v>158</v>
      </c>
      <c r="D3" s="13"/>
      <c r="E3" s="14"/>
      <c r="F3" s="14"/>
      <c r="G3" s="2" t="s">
        <v>12</v>
      </c>
      <c r="H3" s="2"/>
      <c r="I3" s="52" t="s">
        <v>134</v>
      </c>
      <c r="J3" s="52"/>
      <c r="K3" s="14"/>
      <c r="L3" s="14"/>
      <c r="M3" s="14"/>
      <c r="N3" s="14"/>
      <c r="O3" s="15"/>
    </row>
    <row r="4" spans="2:15" ht="33" customHeight="1" x14ac:dyDescent="0.25">
      <c r="C4" s="73" t="s">
        <v>115</v>
      </c>
      <c r="D4" s="74"/>
      <c r="E4" s="26"/>
      <c r="F4" s="26"/>
      <c r="G4" s="2" t="s">
        <v>35</v>
      </c>
      <c r="H4" s="2"/>
      <c r="I4" s="53" t="s">
        <v>41</v>
      </c>
      <c r="J4" s="52"/>
      <c r="K4" s="78" t="s">
        <v>106</v>
      </c>
      <c r="L4" s="78"/>
      <c r="M4" s="78"/>
      <c r="N4" s="78"/>
      <c r="O4" s="79"/>
    </row>
    <row r="5" spans="2:15" ht="15" customHeight="1" x14ac:dyDescent="0.25">
      <c r="B5" s="62" t="s">
        <v>11</v>
      </c>
      <c r="C5" s="69" t="s">
        <v>8</v>
      </c>
      <c r="D5" s="76" t="s">
        <v>39</v>
      </c>
      <c r="E5" s="71" t="s">
        <v>40</v>
      </c>
      <c r="F5" s="76" t="s">
        <v>37</v>
      </c>
      <c r="G5" s="67" t="s">
        <v>7</v>
      </c>
      <c r="H5" s="67" t="s">
        <v>34</v>
      </c>
      <c r="I5" s="63" t="s">
        <v>1</v>
      </c>
      <c r="J5" s="64"/>
      <c r="K5" s="80" t="s">
        <v>2</v>
      </c>
      <c r="L5" s="81"/>
      <c r="M5" s="81"/>
      <c r="N5" s="82"/>
      <c r="O5" s="3" t="s">
        <v>9</v>
      </c>
    </row>
    <row r="6" spans="2:15" ht="15" customHeight="1" x14ac:dyDescent="0.25">
      <c r="B6" s="62"/>
      <c r="C6" s="70"/>
      <c r="D6" s="77"/>
      <c r="E6" s="72"/>
      <c r="F6" s="77"/>
      <c r="G6" s="68"/>
      <c r="H6" s="68"/>
      <c r="I6" s="65"/>
      <c r="J6" s="66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2:15" ht="52.8" x14ac:dyDescent="0.25">
      <c r="B7" s="10">
        <v>1</v>
      </c>
      <c r="C7" s="6">
        <v>1</v>
      </c>
      <c r="D7" s="7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M02 Yeni Ürün Devreye Alma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7"/>
      <c r="F7" s="24"/>
      <c r="G7" s="12" t="s">
        <v>13</v>
      </c>
      <c r="H7" s="23" t="str">
        <f t="shared" ref="H7:H12" si="0">$I$4</f>
        <v>Kalite Sistem Yöneticisi</v>
      </c>
      <c r="I7" s="61" t="s">
        <v>116</v>
      </c>
      <c r="J7" s="60"/>
      <c r="K7" s="33" t="s">
        <v>107</v>
      </c>
      <c r="L7" s="8"/>
      <c r="M7" s="31"/>
      <c r="N7" s="8"/>
      <c r="O7" s="8"/>
    </row>
    <row r="8" spans="2:15" ht="26.4" customHeight="1" x14ac:dyDescent="0.25">
      <c r="B8" s="9">
        <v>1</v>
      </c>
      <c r="C8" s="6">
        <v>2</v>
      </c>
      <c r="D8" s="7" t="str">
        <f>I2&amp; " süreci;"&amp; " için risk ve fırsatları belirleme faaliyetleri gerçekleştirilmekte midir?"</f>
        <v>M02 Yeni Ürün Devreye Alma süreci; için risk ve fırsatları belirleme faaliyetleri gerçekleştirilmekte midir?</v>
      </c>
      <c r="E8" s="7"/>
      <c r="F8" s="24"/>
      <c r="G8" s="12" t="s">
        <v>15</v>
      </c>
      <c r="H8" s="23" t="str">
        <f t="shared" si="0"/>
        <v>Kalite Sistem Yöneticisi</v>
      </c>
      <c r="I8" s="61" t="s">
        <v>116</v>
      </c>
      <c r="J8" s="60"/>
      <c r="K8" s="33" t="s">
        <v>107</v>
      </c>
      <c r="L8" s="8"/>
      <c r="M8" s="8"/>
      <c r="N8" s="8"/>
      <c r="O8" s="8"/>
    </row>
    <row r="9" spans="2:15" ht="26.4" x14ac:dyDescent="0.25">
      <c r="B9" s="9">
        <v>1</v>
      </c>
      <c r="C9" s="6">
        <v>3</v>
      </c>
      <c r="D9" s="7" t="str">
        <f>I2&amp; " süreci;"&amp; " için amaçlar ve bu amaçlara ulaşmak için aksiyonlar belirlenmiş midir? DOKÜMANTE BİLGİ (6.2.1)"</f>
        <v>M02 Yeni Ürün Devreye Alma süreci; için amaçlar ve bu amaçlara ulaşmak için aksiyonlar belirlenmiş midir? DOKÜMANTE BİLGİ (6.2.1)</v>
      </c>
      <c r="E9" s="7"/>
      <c r="F9" s="24"/>
      <c r="G9" s="12" t="s">
        <v>14</v>
      </c>
      <c r="H9" s="23" t="str">
        <f t="shared" si="0"/>
        <v>Kalite Sistem Yöneticisi</v>
      </c>
      <c r="I9" s="61" t="s">
        <v>116</v>
      </c>
      <c r="J9" s="60"/>
      <c r="K9" s="33" t="s">
        <v>107</v>
      </c>
      <c r="L9" s="8"/>
      <c r="M9" s="8"/>
      <c r="N9" s="8"/>
      <c r="O9" s="8"/>
    </row>
    <row r="10" spans="2:15" ht="30.6" customHeight="1" x14ac:dyDescent="0.25">
      <c r="B10" s="9">
        <v>1</v>
      </c>
      <c r="C10" s="6">
        <v>4</v>
      </c>
      <c r="D10" s="7" t="str">
        <f>I2&amp; " süreci;"&amp; " için sistematik olarak değişiklikler belirleniyor mu?"</f>
        <v>M02 Yeni Ürün Devreye Alma süreci; için sistematik olarak değişiklikler belirleniyor mu?</v>
      </c>
      <c r="E10" s="7"/>
      <c r="F10" s="24"/>
      <c r="G10" s="12" t="s">
        <v>16</v>
      </c>
      <c r="H10" s="23" t="str">
        <f t="shared" si="0"/>
        <v>Kalite Sistem Yöneticisi</v>
      </c>
      <c r="I10" s="61" t="s">
        <v>131</v>
      </c>
      <c r="J10" s="60"/>
      <c r="K10" s="33" t="s">
        <v>107</v>
      </c>
      <c r="L10" s="8"/>
      <c r="M10" s="8"/>
      <c r="N10" s="31"/>
      <c r="O10" s="8"/>
    </row>
    <row r="11" spans="2:15" ht="26.4" x14ac:dyDescent="0.25">
      <c r="B11" s="9">
        <v>1</v>
      </c>
      <c r="C11" s="6">
        <v>5</v>
      </c>
      <c r="D11" s="7" t="str">
        <f>I2&amp; " süreci;"&amp; " etkili bir iletişim planı var mıdır, bu plana göre etkili iletişimler gerçekleştirilmekte midir"</f>
        <v>M02 Yeni Ürün Devreye Alma süreci; etkili bir iletişim planı var mıdır, bu plana göre etkili iletişimler gerçekleştirilmekte midir</v>
      </c>
      <c r="E11" s="7"/>
      <c r="F11" s="24"/>
      <c r="G11" s="12" t="s">
        <v>21</v>
      </c>
      <c r="H11" s="23" t="str">
        <f t="shared" si="0"/>
        <v>Kalite Sistem Yöneticisi</v>
      </c>
      <c r="I11" s="59" t="s">
        <v>118</v>
      </c>
      <c r="J11" s="60"/>
      <c r="K11" s="33" t="s">
        <v>107</v>
      </c>
      <c r="L11" s="8"/>
      <c r="M11" s="8"/>
      <c r="N11" s="8"/>
      <c r="O11" s="8"/>
    </row>
    <row r="12" spans="2:15" ht="39.6" customHeight="1" x14ac:dyDescent="0.25">
      <c r="B12" s="9">
        <v>1</v>
      </c>
      <c r="C12" s="6">
        <v>6</v>
      </c>
      <c r="D12" s="7" t="str">
        <f>I2&amp; " süreci;"&amp; " iç tetkikleri, iç tetkik posedürüne uygun olarak olarak gerçekleştiriliyor mu, tetkik sonuçları iyileştirme faaliyetleri için girdi olarak kullanılıyor mu? DOKÜMANTE BİLGİ (9.2.2.f)"</f>
        <v>M02 Yeni Ürün Devreye Alma süreci; iç tetkikleri, iç tetkik posedürüne uygun olarak olarak gerçekleştiriliyor mu, tetkik sonuçları iyileştirme faaliyetleri için girdi olarak kullanılıyor mu? DOKÜMANTE BİLGİ (9.2.2.f)</v>
      </c>
      <c r="E12" s="7"/>
      <c r="F12" s="24"/>
      <c r="G12" s="12" t="s">
        <v>17</v>
      </c>
      <c r="H12" s="23" t="str">
        <f t="shared" si="0"/>
        <v>Kalite Sistem Yöneticisi</v>
      </c>
      <c r="I12" s="59" t="s">
        <v>135</v>
      </c>
      <c r="J12" s="60"/>
      <c r="K12" s="33" t="s">
        <v>107</v>
      </c>
      <c r="L12" s="8"/>
      <c r="M12" s="8"/>
      <c r="N12" s="8"/>
      <c r="O12" s="8"/>
    </row>
    <row r="13" spans="2:15" ht="26.4" customHeight="1" x14ac:dyDescent="0.25">
      <c r="B13" s="9">
        <v>1</v>
      </c>
      <c r="C13" s="6">
        <v>7</v>
      </c>
      <c r="D13" s="7" t="str">
        <f>I2&amp; " süreci "&amp;  "belirlenen aralıklarda gözden geçiriliyor mu? DOKÜMANTE BİLGİ (9.3.3)"</f>
        <v>M02 Yeni Ürün Devreye Alma süreci belirlenen aralıklarda gözden geçiriliyor mu? DOKÜMANTE BİLGİ (9.3.3)</v>
      </c>
      <c r="E13" s="7"/>
      <c r="F13" s="24"/>
      <c r="G13" s="12" t="s">
        <v>18</v>
      </c>
      <c r="H13" s="23" t="str">
        <f t="shared" ref="H13:H24" si="1">$I$4</f>
        <v>Kalite Sistem Yöneticisi</v>
      </c>
      <c r="I13" s="59" t="s">
        <v>136</v>
      </c>
      <c r="J13" s="60"/>
      <c r="K13" s="33" t="s">
        <v>107</v>
      </c>
      <c r="L13" s="8"/>
      <c r="M13" s="8"/>
      <c r="N13" s="8"/>
      <c r="O13" s="8"/>
    </row>
    <row r="14" spans="2:15" ht="26.4" customHeight="1" x14ac:dyDescent="0.25">
      <c r="B14" s="9">
        <v>1</v>
      </c>
      <c r="C14" s="6">
        <v>8</v>
      </c>
      <c r="D14" s="7" t="str">
        <f>I2&amp; " süreci "&amp; " ile ilgili uygunsuzlar için etkili düzeltici faaliyetler gerçekleştiriliyor mu? DOKÜMANTE BİLGİ (10.2.2)"</f>
        <v>M02 Yeni Ürün Devreye Alma süreci  ile ilgili uygunsuzlar için etkili düzeltici faaliyetler gerçekleştiriliyor mu? DOKÜMANTE BİLGİ (10.2.2)</v>
      </c>
      <c r="E14" s="7"/>
      <c r="F14" s="24"/>
      <c r="G14" s="12" t="s">
        <v>19</v>
      </c>
      <c r="H14" s="23" t="str">
        <f t="shared" si="1"/>
        <v>Kalite Sistem Yöneticisi</v>
      </c>
      <c r="I14" s="59" t="s">
        <v>137</v>
      </c>
      <c r="J14" s="60"/>
      <c r="K14" s="33" t="s">
        <v>107</v>
      </c>
      <c r="L14" s="8"/>
      <c r="M14" s="8"/>
      <c r="N14" s="8"/>
      <c r="O14" s="8"/>
    </row>
    <row r="15" spans="2:15" ht="39.6" customHeight="1" x14ac:dyDescent="0.25">
      <c r="B15" s="9">
        <v>1</v>
      </c>
      <c r="C15" s="6">
        <v>9</v>
      </c>
      <c r="D15" s="7" t="str">
        <f>I2&amp; " süreci, "&amp;  "analiz ve değerlendirmenin sonuçlarını, yönetimin gözden geçirmesi çıktılarını iyileştirme faaliyetlerini belirlemek için kullanmakta mıdır?"</f>
        <v>M02 Yeni Ürün Devreye Alma süreci, analiz ve değerlendirmenin sonuçlarını, yönetimin gözden geçirmesi çıktılarını iyileştirme faaliyetlerini belirlemek için kullanmakta mıdır?</v>
      </c>
      <c r="E15" s="7"/>
      <c r="F15" s="24"/>
      <c r="G15" s="12" t="s">
        <v>20</v>
      </c>
      <c r="H15" s="23" t="str">
        <f t="shared" si="1"/>
        <v>Kalite Sistem Yöneticisi</v>
      </c>
      <c r="I15" s="59" t="s">
        <v>138</v>
      </c>
      <c r="J15" s="60"/>
      <c r="K15" s="33" t="s">
        <v>107</v>
      </c>
      <c r="L15" s="8"/>
      <c r="M15" s="8"/>
      <c r="N15" s="8"/>
      <c r="O15" s="8"/>
    </row>
    <row r="16" spans="2:15" ht="26.4" x14ac:dyDescent="0.25">
      <c r="B16" s="9">
        <v>2</v>
      </c>
      <c r="C16" s="6">
        <v>10</v>
      </c>
      <c r="D16" s="7" t="str">
        <f>I2&amp; " sürecinin; "&amp;  "altyapısı için ihtiyaçları belirlenmiş, sağlanmış mıdır, prosese ait altyapının bakımları gerçekleştirilmekte midir?"</f>
        <v>M02 Yeni Ürün Devreye Alma sürecinin; altyapısı için ihtiyaçları belirlenmiş, sağlanmış mıdır, prosese ait altyapının bakımları gerçekleştirilmekte midir?</v>
      </c>
      <c r="E16" s="7"/>
      <c r="F16" s="24"/>
      <c r="G16" s="12" t="s">
        <v>22</v>
      </c>
      <c r="H16" s="23" t="str">
        <f t="shared" si="1"/>
        <v>Kalite Sistem Yöneticisi</v>
      </c>
      <c r="I16" s="59" t="s">
        <v>119</v>
      </c>
      <c r="J16" s="60"/>
      <c r="K16" s="33" t="s">
        <v>107</v>
      </c>
      <c r="L16" s="8"/>
      <c r="M16" s="8"/>
      <c r="N16" s="8"/>
      <c r="O16" s="8"/>
    </row>
    <row r="17" spans="2:15" ht="26.4" x14ac:dyDescent="0.25">
      <c r="B17" s="9">
        <v>2</v>
      </c>
      <c r="C17" s="6">
        <v>11</v>
      </c>
      <c r="D17" s="7" t="str">
        <f>I2&amp; " sürecinin; "&amp; "çalışmalarını etkin şekilde yürütmesi için çevre şartları sağlanmış mıdır?"</f>
        <v>M02 Yeni Ürün Devreye Alma sürecinin; çalışmalarını etkin şekilde yürütmesi için çevre şartları sağlanmış mıdır?</v>
      </c>
      <c r="E17" s="7"/>
      <c r="F17" s="24"/>
      <c r="G17" s="12" t="s">
        <v>23</v>
      </c>
      <c r="H17" s="23" t="str">
        <f t="shared" si="1"/>
        <v>Kalite Sistem Yöneticisi</v>
      </c>
      <c r="I17" s="59" t="s">
        <v>119</v>
      </c>
      <c r="J17" s="60"/>
      <c r="K17" s="33" t="s">
        <v>107</v>
      </c>
      <c r="L17" s="8"/>
      <c r="M17" s="8"/>
      <c r="N17" s="8"/>
      <c r="O17" s="8"/>
    </row>
    <row r="18" spans="2:15" ht="26.4" x14ac:dyDescent="0.25">
      <c r="B18" s="9">
        <v>2</v>
      </c>
      <c r="C18" s="6">
        <v>12</v>
      </c>
      <c r="D18" s="7" t="str">
        <f>I2&amp; " sürecinin "&amp; "amaca uygun izleme ve ölçme ekipmanlarını kullanıyor, bunları tanımlıyor, izlenebilirliğini sağlıyor mu"</f>
        <v>M02 Yeni Ürün Devreye Alma sürecinin amaca uygun izleme ve ölçme ekipmanlarını kullanıyor, bunları tanımlıyor, izlenebilirliğini sağlıyor mu</v>
      </c>
      <c r="E18" s="7"/>
      <c r="F18" s="24"/>
      <c r="G18" s="12" t="s">
        <v>24</v>
      </c>
      <c r="H18" s="23" t="str">
        <f t="shared" si="1"/>
        <v>Kalite Sistem Yöneticisi</v>
      </c>
      <c r="I18" s="59" t="s">
        <v>120</v>
      </c>
      <c r="J18" s="60"/>
      <c r="K18" s="33" t="s">
        <v>107</v>
      </c>
      <c r="L18" s="8"/>
      <c r="M18" s="8"/>
      <c r="N18" s="8"/>
      <c r="O18" s="8"/>
    </row>
    <row r="19" spans="2:15" ht="39.6" x14ac:dyDescent="0.25">
      <c r="B19" s="9">
        <v>2</v>
      </c>
      <c r="C19" s="6">
        <v>13</v>
      </c>
      <c r="D19" s="7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M02 Yeni Ürün Devreye Alma sürecinin ölçme ekipmanlarının uluslararası izlenebilir doğrulama ve kalibrasyon faaliyetlerini gerçekleştiriyor, doğrulama ve kalibrasyon sonuçları ile ilgili gerekli tedbirleri alıyor mu? DOKÜMANTE BİLGİ (7.1.5.1)</v>
      </c>
      <c r="E19" s="7"/>
      <c r="F19" s="24"/>
      <c r="G19" s="12" t="s">
        <v>24</v>
      </c>
      <c r="H19" s="23" t="str">
        <f t="shared" si="1"/>
        <v>Kalite Sistem Yöneticisi</v>
      </c>
      <c r="I19" s="59"/>
      <c r="J19" s="60"/>
      <c r="K19" s="33" t="s">
        <v>107</v>
      </c>
      <c r="L19" s="8"/>
      <c r="M19" s="8"/>
      <c r="N19" s="8"/>
      <c r="O19" s="8"/>
    </row>
    <row r="20" spans="2:15" ht="38.4" customHeight="1" x14ac:dyDescent="0.25">
      <c r="B20" s="9">
        <v>3</v>
      </c>
      <c r="C20" s="6">
        <v>14</v>
      </c>
      <c r="D20" s="22" t="str">
        <f>I2&amp; " sürecinin "&amp; "organizasyonu kalite politikasını ulaşıyormu ve özünü ifade edebiliyor mu? DOKÜMANTE BİLGİ (5.2.2.a)"</f>
        <v>M02 Yeni Ürün Devreye Alma sürecinin organizasyonu kalite politikasını ulaşıyormu ve özünü ifade edebiliyor mu? DOKÜMANTE BİLGİ (5.2.2.a)</v>
      </c>
      <c r="E20" s="22"/>
      <c r="F20" s="24"/>
      <c r="G20" s="12" t="s">
        <v>25</v>
      </c>
      <c r="H20" s="23" t="str">
        <f t="shared" si="1"/>
        <v>Kalite Sistem Yöneticisi</v>
      </c>
      <c r="I20" s="59" t="s">
        <v>121</v>
      </c>
      <c r="J20" s="60"/>
      <c r="K20" s="33" t="s">
        <v>107</v>
      </c>
      <c r="L20" s="8"/>
      <c r="M20" s="8"/>
      <c r="N20" s="8"/>
      <c r="O20" s="8"/>
    </row>
    <row r="21" spans="2:15" ht="39.6" customHeight="1" x14ac:dyDescent="0.25">
      <c r="B21" s="9">
        <v>3</v>
      </c>
      <c r="C21" s="6">
        <v>15</v>
      </c>
      <c r="D21" s="22" t="str">
        <f>I2&amp; " sürecinin "&amp; "organizasyonuna ait roller, bu rollere ait görevler yazılı olarak belirlenmiş mi, rol sahipleri bu yazılı görev tanımlarına ulaşıyor ve gereklerini yapıyorlar mı?"</f>
        <v>M02 Yeni Ürün Devreye Alma sürecinin organizasyonuna ait roller, bu rollere ait görevler yazılı olarak belirlenmiş mi, rol sahipleri bu yazılı görev tanımlarına ulaşıyor ve gereklerini yapıyorlar mı?</v>
      </c>
      <c r="E21" s="22"/>
      <c r="F21" s="24"/>
      <c r="G21" s="12" t="s">
        <v>26</v>
      </c>
      <c r="H21" s="23" t="str">
        <f t="shared" si="1"/>
        <v>Kalite Sistem Yöneticisi</v>
      </c>
      <c r="I21" s="59" t="s">
        <v>122</v>
      </c>
      <c r="J21" s="60"/>
      <c r="K21" s="33" t="s">
        <v>107</v>
      </c>
      <c r="L21" s="8"/>
      <c r="M21" s="8"/>
      <c r="N21" s="31"/>
      <c r="O21" s="8"/>
    </row>
    <row r="22" spans="2:15" ht="39" customHeight="1" x14ac:dyDescent="0.25">
      <c r="B22" s="9">
        <v>3</v>
      </c>
      <c r="C22" s="6">
        <v>16</v>
      </c>
      <c r="D22" s="22" t="str">
        <f>I2&amp; " sürecinin "&amp; "organizasyonu için yeterlilik tanımlarına uygun personel tayin ve tedarik edilmiş midir?"</f>
        <v>M02 Yeni Ürün Devreye Alma sürecinin organizasyonu için yeterlilik tanımlarına uygun personel tayin ve tedarik edilmiş midir?</v>
      </c>
      <c r="E22" s="22"/>
      <c r="F22" s="24"/>
      <c r="G22" s="12" t="s">
        <v>27</v>
      </c>
      <c r="H22" s="23" t="str">
        <f t="shared" si="1"/>
        <v>Kalite Sistem Yöneticisi</v>
      </c>
      <c r="I22" s="59" t="s">
        <v>139</v>
      </c>
      <c r="J22" s="60"/>
      <c r="K22" s="33" t="s">
        <v>107</v>
      </c>
      <c r="L22" s="8"/>
      <c r="M22" s="8"/>
      <c r="N22" s="8"/>
      <c r="O22" s="8"/>
    </row>
    <row r="23" spans="2:15" ht="39.6" x14ac:dyDescent="0.25">
      <c r="B23" s="9">
        <v>3</v>
      </c>
      <c r="C23" s="6">
        <v>17</v>
      </c>
      <c r="D23" s="22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M02 Yeni Ürün Devreye Alma sürecinin organizasyonunda yer alan roller için yeterlilikler belirlenmiş ve bu yeterliliklerin sağlanması için eğitim vb. faaliyetler gerçekleştiriliyor ve etkinliği değerlendiriliyor mu? DOKÜMANTE BİLGİ (7.2.d)</v>
      </c>
      <c r="E23" s="22"/>
      <c r="F23" s="24"/>
      <c r="G23" s="12" t="s">
        <v>28</v>
      </c>
      <c r="H23" s="23" t="str">
        <f t="shared" si="1"/>
        <v>Kalite Sistem Yöneticisi</v>
      </c>
      <c r="I23" s="61" t="s">
        <v>140</v>
      </c>
      <c r="J23" s="60"/>
      <c r="K23" s="33" t="s">
        <v>107</v>
      </c>
      <c r="L23" s="8"/>
      <c r="M23" s="8"/>
      <c r="N23" s="8"/>
      <c r="O23" s="8"/>
    </row>
    <row r="24" spans="2:15" ht="26.4" customHeight="1" x14ac:dyDescent="0.25">
      <c r="B24" s="9">
        <v>3</v>
      </c>
      <c r="C24" s="6">
        <v>18</v>
      </c>
      <c r="D24" s="22" t="str">
        <f>I2&amp; " sürecinin "&amp; "organizasyonunda görev alan personelin, amaçlara ulaşmak veya amaçlardan sapma konularında farkındalıkları yeterli midir?"</f>
        <v>M02 Yeni Ürün Devreye Alma sürecinin organizasyonunda görev alan personelin, amaçlara ulaşmak veya amaçlardan sapma konularında farkındalıkları yeterli midir?</v>
      </c>
      <c r="E24" s="22"/>
      <c r="F24" s="24"/>
      <c r="G24" s="12" t="s">
        <v>29</v>
      </c>
      <c r="H24" s="23" t="str">
        <f t="shared" si="1"/>
        <v>Kalite Sistem Yöneticisi</v>
      </c>
      <c r="I24" s="61" t="s">
        <v>140</v>
      </c>
      <c r="J24" s="60"/>
      <c r="K24" s="33" t="s">
        <v>107</v>
      </c>
      <c r="L24" s="8"/>
      <c r="M24" s="8"/>
      <c r="N24" s="8"/>
      <c r="O24" s="8"/>
    </row>
    <row r="25" spans="2:15" ht="26.4" x14ac:dyDescent="0.25">
      <c r="B25" s="9">
        <v>4</v>
      </c>
      <c r="C25" s="6">
        <v>19</v>
      </c>
      <c r="D25" s="22" t="s">
        <v>94</v>
      </c>
      <c r="E25" s="22"/>
      <c r="F25" s="24"/>
      <c r="G25" s="12" t="s">
        <v>79</v>
      </c>
      <c r="H25" s="23" t="s">
        <v>105</v>
      </c>
      <c r="I25" s="59" t="s">
        <v>123</v>
      </c>
      <c r="J25" s="60"/>
      <c r="K25" s="33" t="s">
        <v>107</v>
      </c>
      <c r="L25" s="8"/>
      <c r="M25" s="8"/>
      <c r="N25" s="8"/>
      <c r="O25" s="8"/>
    </row>
    <row r="26" spans="2:15" ht="37.799999999999997" customHeight="1" x14ac:dyDescent="0.25">
      <c r="B26" s="9">
        <v>4</v>
      </c>
      <c r="C26" s="6">
        <v>20</v>
      </c>
      <c r="D26" s="22" t="s">
        <v>88</v>
      </c>
      <c r="E26" s="22"/>
      <c r="F26" s="24"/>
      <c r="G26" s="12" t="s">
        <v>78</v>
      </c>
      <c r="H26" s="23" t="s">
        <v>105</v>
      </c>
      <c r="I26" s="59" t="s">
        <v>141</v>
      </c>
      <c r="J26" s="60"/>
      <c r="K26" s="33" t="s">
        <v>107</v>
      </c>
      <c r="L26" s="8"/>
      <c r="M26" s="8"/>
      <c r="N26" s="8"/>
      <c r="O26" s="8"/>
    </row>
    <row r="27" spans="2:15" ht="39.6" customHeight="1" x14ac:dyDescent="0.25">
      <c r="B27" s="9">
        <v>4</v>
      </c>
      <c r="C27" s="6">
        <v>21</v>
      </c>
      <c r="D27" s="22" t="s">
        <v>93</v>
      </c>
      <c r="E27" s="22"/>
      <c r="F27" s="24"/>
      <c r="G27" s="12" t="s">
        <v>95</v>
      </c>
      <c r="H27" s="23" t="s">
        <v>105</v>
      </c>
      <c r="I27" s="59" t="s">
        <v>141</v>
      </c>
      <c r="J27" s="60"/>
      <c r="K27" s="33" t="s">
        <v>107</v>
      </c>
      <c r="L27" s="8"/>
      <c r="M27" s="8"/>
      <c r="N27" s="31"/>
      <c r="O27" s="8"/>
    </row>
    <row r="28" spans="2:15" ht="20.399999999999999" x14ac:dyDescent="0.25">
      <c r="B28" s="9">
        <v>4</v>
      </c>
      <c r="C28" s="6">
        <v>22</v>
      </c>
      <c r="D28" s="22" t="s">
        <v>42</v>
      </c>
      <c r="E28" s="22"/>
      <c r="F28" s="24"/>
      <c r="G28" s="12" t="s">
        <v>96</v>
      </c>
      <c r="H28" s="23" t="s">
        <v>41</v>
      </c>
      <c r="I28" s="59" t="s">
        <v>142</v>
      </c>
      <c r="J28" s="60"/>
      <c r="K28" s="33" t="s">
        <v>107</v>
      </c>
      <c r="L28" s="8"/>
      <c r="M28" s="8"/>
      <c r="N28" s="8"/>
      <c r="O28" s="8"/>
    </row>
    <row r="29" spans="2:15" ht="34.200000000000003" customHeight="1" x14ac:dyDescent="0.25">
      <c r="B29" s="9">
        <v>4</v>
      </c>
      <c r="C29" s="6">
        <v>23</v>
      </c>
      <c r="D29" s="22" t="s">
        <v>43</v>
      </c>
      <c r="E29" s="27"/>
      <c r="F29" s="24"/>
      <c r="G29" s="12" t="s">
        <v>96</v>
      </c>
      <c r="H29" s="23" t="s">
        <v>41</v>
      </c>
      <c r="I29" s="59" t="s">
        <v>143</v>
      </c>
      <c r="J29" s="60"/>
      <c r="K29" s="33" t="s">
        <v>107</v>
      </c>
      <c r="L29" s="8"/>
      <c r="M29" s="8"/>
      <c r="N29" s="8"/>
      <c r="O29" s="8"/>
    </row>
    <row r="30" spans="2:15" ht="26.4" x14ac:dyDescent="0.25">
      <c r="B30" s="9">
        <v>4</v>
      </c>
      <c r="C30" s="6">
        <v>24</v>
      </c>
      <c r="D30" s="22" t="s">
        <v>89</v>
      </c>
      <c r="E30" s="27"/>
      <c r="F30" s="24"/>
      <c r="G30" s="12" t="s">
        <v>96</v>
      </c>
      <c r="H30" s="23" t="s">
        <v>41</v>
      </c>
      <c r="I30" s="59" t="s">
        <v>144</v>
      </c>
      <c r="J30" s="60"/>
      <c r="K30" s="33" t="s">
        <v>107</v>
      </c>
      <c r="L30" s="8"/>
      <c r="M30" s="8"/>
      <c r="N30" s="8"/>
      <c r="O30" s="8"/>
    </row>
    <row r="31" spans="2:15" ht="45.6" customHeight="1" x14ac:dyDescent="0.25">
      <c r="B31" s="9">
        <v>4</v>
      </c>
      <c r="C31" s="6">
        <v>25</v>
      </c>
      <c r="D31" s="22" t="s">
        <v>90</v>
      </c>
      <c r="E31" s="22"/>
      <c r="F31" s="24"/>
      <c r="G31" s="12" t="s">
        <v>96</v>
      </c>
      <c r="H31" s="23" t="s">
        <v>41</v>
      </c>
      <c r="I31" s="59" t="s">
        <v>145</v>
      </c>
      <c r="J31" s="60"/>
      <c r="K31" s="33" t="s">
        <v>107</v>
      </c>
      <c r="L31" s="8"/>
      <c r="M31" s="8"/>
      <c r="N31" s="8"/>
      <c r="O31" s="8"/>
    </row>
    <row r="32" spans="2:15" ht="44.25" customHeight="1" x14ac:dyDescent="0.25">
      <c r="B32" s="9">
        <v>4</v>
      </c>
      <c r="C32" s="6">
        <v>26</v>
      </c>
      <c r="D32" s="22" t="s">
        <v>63</v>
      </c>
      <c r="E32" s="22"/>
      <c r="F32" s="24"/>
      <c r="G32" s="12" t="s">
        <v>97</v>
      </c>
      <c r="H32" s="23" t="s">
        <v>41</v>
      </c>
      <c r="I32" s="61" t="s">
        <v>146</v>
      </c>
      <c r="J32" s="60"/>
      <c r="K32" s="33" t="s">
        <v>107</v>
      </c>
      <c r="L32" s="8"/>
      <c r="M32" s="31"/>
      <c r="N32" s="8"/>
      <c r="O32" s="8"/>
    </row>
    <row r="33" spans="2:15" ht="45" customHeight="1" x14ac:dyDescent="0.25">
      <c r="B33" s="9">
        <v>4</v>
      </c>
      <c r="C33" s="6">
        <v>27</v>
      </c>
      <c r="D33" s="22" t="s">
        <v>64</v>
      </c>
      <c r="E33" s="22"/>
      <c r="F33" s="24"/>
      <c r="G33" s="12" t="s">
        <v>81</v>
      </c>
      <c r="H33" s="23" t="s">
        <v>41</v>
      </c>
      <c r="I33" s="59" t="s">
        <v>147</v>
      </c>
      <c r="J33" s="60"/>
      <c r="K33" s="33" t="s">
        <v>107</v>
      </c>
      <c r="L33" s="8"/>
      <c r="M33" s="8"/>
      <c r="N33" s="8"/>
      <c r="O33" s="8"/>
    </row>
    <row r="34" spans="2:15" ht="26.4" customHeight="1" x14ac:dyDescent="0.25">
      <c r="B34" s="9">
        <v>4</v>
      </c>
      <c r="C34" s="6">
        <v>28</v>
      </c>
      <c r="D34" s="22" t="s">
        <v>55</v>
      </c>
      <c r="E34" s="22"/>
      <c r="F34" s="24"/>
      <c r="G34" s="12" t="s">
        <v>84</v>
      </c>
      <c r="H34" s="23" t="s">
        <v>41</v>
      </c>
      <c r="I34" s="59" t="s">
        <v>147</v>
      </c>
      <c r="J34" s="60"/>
      <c r="K34" s="33" t="s">
        <v>107</v>
      </c>
      <c r="L34" s="8"/>
      <c r="M34" s="8"/>
      <c r="N34" s="8"/>
      <c r="O34" s="8"/>
    </row>
    <row r="35" spans="2:15" ht="26.4" x14ac:dyDescent="0.25">
      <c r="B35" s="9">
        <v>4</v>
      </c>
      <c r="C35" s="6">
        <v>29</v>
      </c>
      <c r="D35" s="22" t="s">
        <v>65</v>
      </c>
      <c r="E35" s="22"/>
      <c r="F35" s="24"/>
      <c r="G35" s="12" t="s">
        <v>98</v>
      </c>
      <c r="H35" s="23" t="s">
        <v>41</v>
      </c>
      <c r="I35" s="59" t="s">
        <v>125</v>
      </c>
      <c r="J35" s="60"/>
      <c r="K35" s="33" t="s">
        <v>107</v>
      </c>
      <c r="L35" s="8"/>
      <c r="M35" s="8"/>
      <c r="N35" s="8"/>
      <c r="O35" s="8"/>
    </row>
    <row r="36" spans="2:15" ht="26.4" x14ac:dyDescent="0.25">
      <c r="B36" s="9">
        <v>4</v>
      </c>
      <c r="C36" s="6">
        <v>30</v>
      </c>
      <c r="D36" s="22" t="s">
        <v>66</v>
      </c>
      <c r="E36" s="22"/>
      <c r="F36" s="24"/>
      <c r="G36" s="12" t="s">
        <v>99</v>
      </c>
      <c r="H36" s="23" t="s">
        <v>41</v>
      </c>
      <c r="I36" s="59" t="s">
        <v>124</v>
      </c>
      <c r="J36" s="60"/>
      <c r="K36" s="33" t="s">
        <v>107</v>
      </c>
      <c r="L36" s="8"/>
      <c r="M36" s="8"/>
      <c r="N36" s="8"/>
      <c r="O36" s="8"/>
    </row>
    <row r="37" spans="2:15" ht="26.4" x14ac:dyDescent="0.25">
      <c r="B37" s="9">
        <v>4</v>
      </c>
      <c r="C37" s="6">
        <v>31</v>
      </c>
      <c r="D37" s="22" t="s">
        <v>67</v>
      </c>
      <c r="E37" s="22"/>
      <c r="F37" s="24"/>
      <c r="G37" s="12" t="s">
        <v>100</v>
      </c>
      <c r="H37" s="23" t="s">
        <v>41</v>
      </c>
      <c r="I37" s="59" t="s">
        <v>126</v>
      </c>
      <c r="J37" s="60"/>
      <c r="K37" s="33" t="s">
        <v>107</v>
      </c>
      <c r="L37" s="8"/>
      <c r="M37" s="8"/>
      <c r="N37" s="8"/>
      <c r="O37" s="8"/>
    </row>
    <row r="38" spans="2:15" ht="26.4" x14ac:dyDescent="0.25">
      <c r="B38" s="9">
        <v>4</v>
      </c>
      <c r="C38" s="6">
        <v>32</v>
      </c>
      <c r="D38" s="22" t="s">
        <v>68</v>
      </c>
      <c r="E38" s="22"/>
      <c r="F38" s="24"/>
      <c r="G38" s="12" t="s">
        <v>101</v>
      </c>
      <c r="H38" s="23" t="s">
        <v>41</v>
      </c>
      <c r="I38" s="59" t="s">
        <v>127</v>
      </c>
      <c r="J38" s="60"/>
      <c r="K38" s="33" t="s">
        <v>107</v>
      </c>
      <c r="L38" s="8"/>
      <c r="M38" s="8"/>
      <c r="N38" s="8"/>
      <c r="O38" s="8"/>
    </row>
    <row r="39" spans="2:15" ht="41.25" customHeight="1" x14ac:dyDescent="0.25">
      <c r="B39" s="9">
        <v>4</v>
      </c>
      <c r="C39" s="6">
        <v>33</v>
      </c>
      <c r="D39" s="22" t="s">
        <v>69</v>
      </c>
      <c r="E39" s="22"/>
      <c r="F39" s="24"/>
      <c r="G39" s="12" t="s">
        <v>101</v>
      </c>
      <c r="H39" s="23" t="s">
        <v>41</v>
      </c>
      <c r="I39" s="61" t="s">
        <v>148</v>
      </c>
      <c r="J39" s="60"/>
      <c r="K39" s="33" t="s">
        <v>107</v>
      </c>
      <c r="L39" s="8"/>
      <c r="M39" s="33"/>
      <c r="N39" s="8"/>
      <c r="O39" s="58"/>
    </row>
    <row r="40" spans="2:15" ht="26.4" x14ac:dyDescent="0.25">
      <c r="B40" s="9">
        <v>4</v>
      </c>
      <c r="C40" s="6">
        <v>34</v>
      </c>
      <c r="D40" s="22" t="s">
        <v>70</v>
      </c>
      <c r="E40" s="22"/>
      <c r="F40" s="24"/>
      <c r="G40" s="12" t="s">
        <v>101</v>
      </c>
      <c r="H40" s="23" t="s">
        <v>41</v>
      </c>
      <c r="I40" s="59"/>
      <c r="J40" s="60"/>
      <c r="K40" s="33" t="s">
        <v>107</v>
      </c>
      <c r="L40" s="8"/>
      <c r="M40" s="8"/>
      <c r="N40" s="8"/>
      <c r="O40" s="8"/>
    </row>
    <row r="41" spans="2:15" ht="26.4" x14ac:dyDescent="0.25">
      <c r="B41" s="9">
        <v>4</v>
      </c>
      <c r="C41" s="6">
        <v>35</v>
      </c>
      <c r="D41" s="22" t="s">
        <v>87</v>
      </c>
      <c r="E41" s="22"/>
      <c r="F41" s="24"/>
      <c r="G41" s="12" t="s">
        <v>101</v>
      </c>
      <c r="H41" s="23" t="s">
        <v>41</v>
      </c>
      <c r="I41" s="59" t="s">
        <v>128</v>
      </c>
      <c r="J41" s="60"/>
      <c r="K41" s="33" t="s">
        <v>107</v>
      </c>
      <c r="L41" s="8"/>
      <c r="M41" s="8"/>
      <c r="N41" s="8"/>
      <c r="O41" s="8"/>
    </row>
    <row r="42" spans="2:15" ht="26.4" x14ac:dyDescent="0.25">
      <c r="B42" s="9">
        <v>4</v>
      </c>
      <c r="C42" s="6">
        <v>36</v>
      </c>
      <c r="D42" s="22" t="s">
        <v>71</v>
      </c>
      <c r="E42" s="22"/>
      <c r="F42" s="24"/>
      <c r="G42" s="12" t="s">
        <v>80</v>
      </c>
      <c r="H42" s="23" t="s">
        <v>41</v>
      </c>
      <c r="I42" s="55"/>
      <c r="J42" s="56"/>
      <c r="K42" s="33" t="s">
        <v>107</v>
      </c>
      <c r="L42" s="8"/>
      <c r="M42" s="8"/>
      <c r="N42" s="8"/>
      <c r="O42" s="8"/>
    </row>
    <row r="43" spans="2:15" ht="26.4" x14ac:dyDescent="0.25">
      <c r="B43" s="9">
        <v>4</v>
      </c>
      <c r="C43" s="6">
        <v>37</v>
      </c>
      <c r="D43" s="22" t="s">
        <v>72</v>
      </c>
      <c r="E43" s="22"/>
      <c r="F43" s="24"/>
      <c r="G43" s="12" t="s">
        <v>80</v>
      </c>
      <c r="H43" s="23" t="s">
        <v>41</v>
      </c>
      <c r="I43" s="55"/>
      <c r="J43" s="56"/>
      <c r="K43" s="33" t="s">
        <v>107</v>
      </c>
      <c r="L43" s="8"/>
      <c r="M43" s="8"/>
      <c r="N43" s="8"/>
      <c r="O43" s="8"/>
    </row>
    <row r="44" spans="2:15" ht="26.4" x14ac:dyDescent="0.25">
      <c r="B44" s="9">
        <v>4</v>
      </c>
      <c r="C44" s="6">
        <v>38</v>
      </c>
      <c r="D44" s="22" t="s">
        <v>73</v>
      </c>
      <c r="E44" s="22"/>
      <c r="F44" s="24"/>
      <c r="G44" s="12" t="s">
        <v>80</v>
      </c>
      <c r="H44" s="23" t="s">
        <v>41</v>
      </c>
      <c r="I44" s="59" t="s">
        <v>149</v>
      </c>
      <c r="J44" s="60"/>
      <c r="K44" s="33" t="s">
        <v>107</v>
      </c>
      <c r="L44" s="8"/>
      <c r="M44" s="8"/>
      <c r="N44" s="8"/>
      <c r="O44" s="8"/>
    </row>
    <row r="45" spans="2:15" ht="26.4" customHeight="1" x14ac:dyDescent="0.25">
      <c r="B45" s="9">
        <v>4</v>
      </c>
      <c r="C45" s="6">
        <v>39</v>
      </c>
      <c r="D45" s="22" t="s">
        <v>74</v>
      </c>
      <c r="E45" s="27"/>
      <c r="F45" s="24"/>
      <c r="G45" s="12" t="s">
        <v>80</v>
      </c>
      <c r="H45" s="23" t="s">
        <v>41</v>
      </c>
      <c r="I45" s="59" t="s">
        <v>149</v>
      </c>
      <c r="J45" s="60"/>
      <c r="K45" s="33" t="s">
        <v>107</v>
      </c>
      <c r="L45" s="8"/>
      <c r="M45" s="8"/>
      <c r="N45" s="8"/>
      <c r="O45" s="8"/>
    </row>
    <row r="46" spans="2:15" ht="20.399999999999999" customHeight="1" x14ac:dyDescent="0.25">
      <c r="B46" s="9">
        <v>4</v>
      </c>
      <c r="C46" s="6">
        <v>40</v>
      </c>
      <c r="D46" s="28" t="s">
        <v>45</v>
      </c>
      <c r="E46" s="27"/>
      <c r="F46" s="24"/>
      <c r="G46" s="12" t="s">
        <v>82</v>
      </c>
      <c r="H46" s="23" t="s">
        <v>41</v>
      </c>
      <c r="I46" s="59" t="s">
        <v>149</v>
      </c>
      <c r="J46" s="60"/>
      <c r="K46" s="33" t="s">
        <v>107</v>
      </c>
      <c r="L46" s="8"/>
      <c r="M46" s="8"/>
      <c r="N46" s="8"/>
      <c r="O46" s="8"/>
    </row>
    <row r="47" spans="2:15" ht="26.4" x14ac:dyDescent="0.25">
      <c r="B47" s="9">
        <v>4</v>
      </c>
      <c r="C47" s="6">
        <v>41</v>
      </c>
      <c r="D47" s="28" t="s">
        <v>54</v>
      </c>
      <c r="E47" s="27"/>
      <c r="F47" s="24"/>
      <c r="G47" s="12" t="s">
        <v>83</v>
      </c>
      <c r="H47" s="23" t="s">
        <v>41</v>
      </c>
      <c r="I47" s="59"/>
      <c r="J47" s="60"/>
      <c r="K47" s="33" t="s">
        <v>107</v>
      </c>
      <c r="L47" s="8"/>
      <c r="M47" s="8"/>
      <c r="N47" s="8"/>
      <c r="O47" s="8"/>
    </row>
    <row r="48" spans="2:15" ht="26.4" x14ac:dyDescent="0.25">
      <c r="B48" s="9">
        <v>4</v>
      </c>
      <c r="C48" s="6">
        <v>42</v>
      </c>
      <c r="D48" s="28" t="s">
        <v>56</v>
      </c>
      <c r="E48" s="27"/>
      <c r="F48" s="24"/>
      <c r="G48" s="30" t="s">
        <v>102</v>
      </c>
      <c r="H48" s="23" t="s">
        <v>41</v>
      </c>
      <c r="I48" s="59" t="s">
        <v>129</v>
      </c>
      <c r="J48" s="60"/>
      <c r="K48" s="33" t="s">
        <v>107</v>
      </c>
      <c r="L48" s="8"/>
      <c r="M48" s="8"/>
      <c r="N48" s="8"/>
      <c r="O48" s="8"/>
    </row>
    <row r="49" spans="2:15" ht="26.4" x14ac:dyDescent="0.25">
      <c r="B49" s="9">
        <v>4</v>
      </c>
      <c r="C49" s="6">
        <v>43</v>
      </c>
      <c r="D49" s="29" t="s">
        <v>58</v>
      </c>
      <c r="E49" s="27"/>
      <c r="F49" s="24"/>
      <c r="G49" s="30" t="s">
        <v>103</v>
      </c>
      <c r="H49" s="23" t="s">
        <v>41</v>
      </c>
      <c r="I49" s="59"/>
      <c r="J49" s="60"/>
      <c r="K49" s="33" t="s">
        <v>107</v>
      </c>
      <c r="L49" s="8"/>
      <c r="M49" s="8"/>
      <c r="N49" s="8"/>
      <c r="O49" s="8"/>
    </row>
    <row r="50" spans="2:15" ht="26.4" x14ac:dyDescent="0.25">
      <c r="B50" s="9">
        <v>4</v>
      </c>
      <c r="C50" s="6">
        <v>44</v>
      </c>
      <c r="D50" s="29" t="s">
        <v>44</v>
      </c>
      <c r="E50" s="27"/>
      <c r="F50" s="24"/>
      <c r="G50" s="21" t="s">
        <v>85</v>
      </c>
      <c r="H50" s="23" t="s">
        <v>41</v>
      </c>
      <c r="I50" s="59" t="s">
        <v>128</v>
      </c>
      <c r="J50" s="60"/>
      <c r="K50" s="33" t="s">
        <v>107</v>
      </c>
      <c r="L50" s="8"/>
      <c r="M50" s="8"/>
      <c r="N50" s="8"/>
      <c r="O50" s="8"/>
    </row>
    <row r="51" spans="2:15" ht="26.4" x14ac:dyDescent="0.25">
      <c r="B51" s="9">
        <v>4</v>
      </c>
      <c r="C51" s="6">
        <v>45</v>
      </c>
      <c r="D51" s="20" t="s">
        <v>52</v>
      </c>
      <c r="E51" s="27"/>
      <c r="F51" s="24"/>
      <c r="G51" s="21" t="s">
        <v>103</v>
      </c>
      <c r="H51" s="23" t="s">
        <v>41</v>
      </c>
      <c r="I51" s="59" t="s">
        <v>120</v>
      </c>
      <c r="J51" s="60"/>
      <c r="K51" s="33" t="s">
        <v>107</v>
      </c>
      <c r="L51" s="8"/>
      <c r="M51" s="8"/>
      <c r="N51" s="8"/>
      <c r="O51" s="8"/>
    </row>
    <row r="52" spans="2:15" ht="51.6" customHeight="1" x14ac:dyDescent="0.25">
      <c r="B52" s="9">
        <v>4</v>
      </c>
      <c r="C52" s="6">
        <v>46</v>
      </c>
      <c r="D52" s="20" t="s">
        <v>51</v>
      </c>
      <c r="E52" s="27"/>
      <c r="F52" s="24"/>
      <c r="G52" s="21" t="s">
        <v>103</v>
      </c>
      <c r="H52" s="23" t="s">
        <v>41</v>
      </c>
      <c r="I52" s="59" t="s">
        <v>130</v>
      </c>
      <c r="J52" s="60"/>
      <c r="K52" s="33" t="s">
        <v>107</v>
      </c>
      <c r="L52" s="8"/>
      <c r="M52" s="8"/>
      <c r="N52" s="8"/>
      <c r="O52" s="8"/>
    </row>
    <row r="53" spans="2:15" ht="26.4" customHeight="1" x14ac:dyDescent="0.25">
      <c r="B53" s="9">
        <v>4</v>
      </c>
      <c r="C53" s="6">
        <v>47</v>
      </c>
      <c r="D53" s="20" t="s">
        <v>50</v>
      </c>
      <c r="E53" s="27"/>
      <c r="F53" s="24"/>
      <c r="G53" s="21" t="s">
        <v>103</v>
      </c>
      <c r="H53" s="23" t="s">
        <v>41</v>
      </c>
      <c r="I53" s="59" t="s">
        <v>130</v>
      </c>
      <c r="J53" s="60"/>
      <c r="K53" s="33" t="s">
        <v>107</v>
      </c>
      <c r="L53" s="8"/>
      <c r="M53" s="8"/>
      <c r="N53" s="8"/>
      <c r="O53" s="8"/>
    </row>
    <row r="54" spans="2:15" ht="26.4" x14ac:dyDescent="0.25">
      <c r="B54" s="9">
        <v>4</v>
      </c>
      <c r="C54" s="6">
        <v>48</v>
      </c>
      <c r="D54" s="20" t="s">
        <v>53</v>
      </c>
      <c r="E54" s="27"/>
      <c r="F54" s="24"/>
      <c r="G54" s="21" t="s">
        <v>104</v>
      </c>
      <c r="H54" s="23" t="s">
        <v>41</v>
      </c>
      <c r="I54" s="59" t="s">
        <v>114</v>
      </c>
      <c r="J54" s="60"/>
      <c r="K54" s="33" t="s">
        <v>107</v>
      </c>
      <c r="L54" s="8"/>
      <c r="M54" s="8"/>
      <c r="N54" s="8"/>
      <c r="O54" s="8"/>
    </row>
    <row r="55" spans="2:15" ht="26.4" x14ac:dyDescent="0.25">
      <c r="B55" s="9">
        <v>4</v>
      </c>
      <c r="C55" s="6">
        <v>49</v>
      </c>
      <c r="D55" s="20" t="s">
        <v>57</v>
      </c>
      <c r="E55" s="27"/>
      <c r="F55" s="24"/>
      <c r="G55" s="21" t="s">
        <v>85</v>
      </c>
      <c r="H55" s="23" t="s">
        <v>41</v>
      </c>
      <c r="I55" s="59"/>
      <c r="J55" s="60"/>
      <c r="K55" s="33" t="s">
        <v>107</v>
      </c>
      <c r="L55" s="8"/>
      <c r="M55" s="8"/>
      <c r="N55" s="8"/>
      <c r="O55" s="8"/>
    </row>
    <row r="56" spans="2:15" ht="26.4" x14ac:dyDescent="0.25">
      <c r="B56" s="9">
        <v>4</v>
      </c>
      <c r="C56" s="6">
        <v>50</v>
      </c>
      <c r="D56" s="20" t="s">
        <v>47</v>
      </c>
      <c r="E56" s="27"/>
      <c r="F56" s="24"/>
      <c r="G56" s="21" t="s">
        <v>98</v>
      </c>
      <c r="H56" s="23" t="s">
        <v>41</v>
      </c>
      <c r="I56" s="59" t="s">
        <v>131</v>
      </c>
      <c r="J56" s="60"/>
      <c r="K56" s="33" t="s">
        <v>107</v>
      </c>
      <c r="L56" s="8"/>
      <c r="M56" s="8"/>
      <c r="N56" s="8"/>
      <c r="O56" s="8"/>
    </row>
    <row r="57" spans="2:15" ht="26.4" customHeight="1" x14ac:dyDescent="0.25">
      <c r="B57" s="9">
        <v>4</v>
      </c>
      <c r="C57" s="6">
        <v>51</v>
      </c>
      <c r="D57" s="20" t="s">
        <v>48</v>
      </c>
      <c r="E57" s="27"/>
      <c r="F57" s="24"/>
      <c r="G57" s="21" t="s">
        <v>98</v>
      </c>
      <c r="H57" s="23" t="s">
        <v>41</v>
      </c>
      <c r="I57" s="59" t="s">
        <v>131</v>
      </c>
      <c r="J57" s="60"/>
      <c r="K57" s="33" t="s">
        <v>107</v>
      </c>
      <c r="L57" s="8"/>
      <c r="M57" s="8"/>
      <c r="N57" s="8"/>
      <c r="O57" s="8"/>
    </row>
    <row r="58" spans="2:15" ht="63.75" customHeight="1" x14ac:dyDescent="0.25">
      <c r="B58" s="9">
        <v>4</v>
      </c>
      <c r="C58" s="6">
        <v>52</v>
      </c>
      <c r="D58" s="20" t="s">
        <v>49</v>
      </c>
      <c r="E58" s="27"/>
      <c r="F58" s="24"/>
      <c r="G58" s="21" t="s">
        <v>98</v>
      </c>
      <c r="H58" s="23" t="s">
        <v>41</v>
      </c>
      <c r="I58" s="59" t="s">
        <v>150</v>
      </c>
      <c r="J58" s="60"/>
      <c r="K58" s="33" t="s">
        <v>107</v>
      </c>
      <c r="L58" s="8"/>
      <c r="M58" s="8"/>
      <c r="N58" s="8"/>
      <c r="O58" s="8"/>
    </row>
    <row r="59" spans="2:15" ht="26.4" customHeight="1" x14ac:dyDescent="0.25">
      <c r="B59" s="9">
        <v>4</v>
      </c>
      <c r="C59" s="6">
        <v>53</v>
      </c>
      <c r="D59" s="20" t="s">
        <v>59</v>
      </c>
      <c r="E59" s="27"/>
      <c r="F59" s="24"/>
      <c r="G59" s="21" t="s">
        <v>98</v>
      </c>
      <c r="H59" s="23" t="s">
        <v>41</v>
      </c>
      <c r="I59" s="59" t="s">
        <v>125</v>
      </c>
      <c r="J59" s="60"/>
      <c r="K59" s="33" t="s">
        <v>107</v>
      </c>
      <c r="L59" s="8"/>
      <c r="M59" s="8"/>
      <c r="N59" s="8"/>
      <c r="O59" s="8"/>
    </row>
    <row r="60" spans="2:15" ht="26.4" customHeight="1" x14ac:dyDescent="0.25">
      <c r="B60" s="9">
        <v>4</v>
      </c>
      <c r="C60" s="6">
        <v>54</v>
      </c>
      <c r="D60" s="20" t="s">
        <v>60</v>
      </c>
      <c r="E60" s="27"/>
      <c r="F60" s="24"/>
      <c r="G60" s="21" t="s">
        <v>98</v>
      </c>
      <c r="H60" s="23" t="s">
        <v>41</v>
      </c>
      <c r="I60" s="59" t="s">
        <v>151</v>
      </c>
      <c r="J60" s="60"/>
      <c r="K60" s="33" t="s">
        <v>107</v>
      </c>
      <c r="L60" s="8"/>
      <c r="M60" s="8"/>
      <c r="N60" s="8"/>
      <c r="O60" s="8"/>
    </row>
    <row r="61" spans="2:15" ht="26.4" x14ac:dyDescent="0.25">
      <c r="B61" s="9">
        <v>4</v>
      </c>
      <c r="C61" s="6">
        <v>55</v>
      </c>
      <c r="D61" s="20" t="s">
        <v>61</v>
      </c>
      <c r="E61" s="27"/>
      <c r="F61" s="24"/>
      <c r="G61" s="21" t="s">
        <v>98</v>
      </c>
      <c r="H61" s="23" t="s">
        <v>41</v>
      </c>
      <c r="I61" s="55"/>
      <c r="J61" s="56"/>
      <c r="K61" s="33" t="s">
        <v>107</v>
      </c>
      <c r="L61" s="8"/>
      <c r="M61" s="8"/>
      <c r="N61" s="8"/>
      <c r="O61" s="8"/>
    </row>
    <row r="62" spans="2:15" ht="26.4" x14ac:dyDescent="0.25">
      <c r="B62" s="9">
        <v>4</v>
      </c>
      <c r="C62" s="6">
        <v>56</v>
      </c>
      <c r="D62" s="20" t="s">
        <v>68</v>
      </c>
      <c r="E62" s="27"/>
      <c r="F62" s="24"/>
      <c r="G62" s="21" t="s">
        <v>98</v>
      </c>
      <c r="H62" s="23" t="s">
        <v>41</v>
      </c>
      <c r="I62" s="61" t="s">
        <v>132</v>
      </c>
      <c r="J62" s="60"/>
      <c r="K62" s="33" t="s">
        <v>107</v>
      </c>
      <c r="L62" s="8"/>
      <c r="M62" s="8"/>
      <c r="N62" s="8"/>
      <c r="O62" s="8"/>
    </row>
    <row r="63" spans="2:15" ht="40.5" customHeight="1" x14ac:dyDescent="0.25">
      <c r="B63" s="19">
        <v>4</v>
      </c>
      <c r="C63" s="6">
        <v>57</v>
      </c>
      <c r="D63" s="20" t="s">
        <v>75</v>
      </c>
      <c r="E63" s="27"/>
      <c r="F63" s="24"/>
      <c r="G63" s="21" t="s">
        <v>86</v>
      </c>
      <c r="H63" s="23" t="s">
        <v>41</v>
      </c>
      <c r="I63" s="61" t="s">
        <v>153</v>
      </c>
      <c r="J63" s="60"/>
      <c r="K63" s="33" t="s">
        <v>107</v>
      </c>
      <c r="L63" s="8"/>
      <c r="M63" s="8"/>
      <c r="N63" s="8"/>
      <c r="O63" s="8"/>
    </row>
    <row r="64" spans="2:15" ht="37.200000000000003" customHeight="1" x14ac:dyDescent="0.25">
      <c r="B64" s="19">
        <v>4</v>
      </c>
      <c r="C64" s="6">
        <v>58</v>
      </c>
      <c r="D64" s="20" t="s">
        <v>76</v>
      </c>
      <c r="E64" s="27"/>
      <c r="F64" s="24"/>
      <c r="G64" s="21" t="s">
        <v>86</v>
      </c>
      <c r="H64" s="23" t="s">
        <v>41</v>
      </c>
      <c r="I64" s="61" t="s">
        <v>152</v>
      </c>
      <c r="J64" s="60"/>
      <c r="K64" s="33" t="s">
        <v>107</v>
      </c>
      <c r="L64" s="8"/>
      <c r="M64" s="8"/>
      <c r="N64" s="8"/>
      <c r="O64" s="8"/>
    </row>
    <row r="65" spans="2:15" ht="20.399999999999999" x14ac:dyDescent="0.25">
      <c r="B65" s="19">
        <v>4</v>
      </c>
      <c r="C65" s="6">
        <v>59</v>
      </c>
      <c r="D65" s="20" t="s">
        <v>77</v>
      </c>
      <c r="E65" s="27"/>
      <c r="F65" s="24"/>
      <c r="G65" s="21"/>
      <c r="H65" s="23" t="s">
        <v>41</v>
      </c>
      <c r="I65" s="59" t="s">
        <v>142</v>
      </c>
      <c r="J65" s="60"/>
      <c r="K65" s="33" t="s">
        <v>107</v>
      </c>
      <c r="L65" s="8"/>
      <c r="M65" s="8"/>
      <c r="N65" s="8"/>
      <c r="O65" s="8"/>
    </row>
    <row r="66" spans="2:15" ht="26.4" x14ac:dyDescent="0.25">
      <c r="B66" s="19">
        <v>4</v>
      </c>
      <c r="C66" s="6">
        <v>60</v>
      </c>
      <c r="D66" s="20" t="s">
        <v>91</v>
      </c>
      <c r="E66" s="27"/>
      <c r="F66" s="24"/>
      <c r="G66" s="21" t="s">
        <v>92</v>
      </c>
      <c r="H66" s="23" t="s">
        <v>41</v>
      </c>
      <c r="I66" s="59"/>
      <c r="J66" s="60"/>
      <c r="K66" s="33" t="s">
        <v>107</v>
      </c>
      <c r="L66" s="8"/>
      <c r="M66" s="8"/>
      <c r="N66" s="8"/>
      <c r="O66" s="8"/>
    </row>
    <row r="67" spans="2:15" ht="26.4" x14ac:dyDescent="0.25">
      <c r="B67" s="9">
        <v>5</v>
      </c>
      <c r="C67" s="6">
        <v>61</v>
      </c>
      <c r="D67" s="7" t="str">
        <f>I2&amp; " sürecinin "&amp; "sürecinin tüm işlemleri için oluşturulmuş ve kontrol edilen prosedü(ler) mevcut mudur?"</f>
        <v>M02 Yeni Ürün Devreye Alma sürecinin sürecinin tüm işlemleri için oluşturulmuş ve kontrol edilen prosedü(ler) mevcut mudur?</v>
      </c>
      <c r="E67" s="7"/>
      <c r="F67" s="24"/>
      <c r="G67" s="12" t="s">
        <v>30</v>
      </c>
      <c r="H67" s="23" t="str">
        <f t="shared" ref="H67:H70" si="2">$I$4</f>
        <v>Kalite Sistem Yöneticisi</v>
      </c>
      <c r="I67" s="59" t="s">
        <v>120</v>
      </c>
      <c r="J67" s="60"/>
      <c r="K67" s="33" t="s">
        <v>107</v>
      </c>
      <c r="L67" s="8"/>
      <c r="M67" s="8"/>
      <c r="N67" s="8"/>
      <c r="O67" s="8"/>
    </row>
    <row r="68" spans="2:15" ht="26.4" x14ac:dyDescent="0.25">
      <c r="B68" s="9">
        <v>6</v>
      </c>
      <c r="C68" s="6">
        <v>62</v>
      </c>
      <c r="D68" s="7" t="str">
        <f>I2&amp; " sürecinin "&amp; "performansı ve etkinliği değerlendirilmekte midir? DOKÜMANTE BİLGİ (9.1.1)"</f>
        <v>M02 Yeni Ürün Devreye Alma sürecinin performansı ve etkinliği değerlendirilmekte midir? DOKÜMANTE BİLGİ (9.1.1)</v>
      </c>
      <c r="E68" s="7"/>
      <c r="F68" s="24"/>
      <c r="G68" s="12" t="s">
        <v>31</v>
      </c>
      <c r="H68" s="23" t="str">
        <f t="shared" si="2"/>
        <v>Kalite Sistem Yöneticisi</v>
      </c>
      <c r="I68" s="59" t="s">
        <v>154</v>
      </c>
      <c r="J68" s="60"/>
      <c r="K68" s="33" t="s">
        <v>107</v>
      </c>
      <c r="L68" s="8"/>
      <c r="M68" s="8"/>
      <c r="N68" s="8"/>
      <c r="O68" s="8"/>
    </row>
    <row r="69" spans="2:15" ht="45" customHeight="1" x14ac:dyDescent="0.25">
      <c r="B69" s="9">
        <v>6</v>
      </c>
      <c r="C69" s="6">
        <v>63</v>
      </c>
      <c r="D69" s="7" t="str">
        <f>I2&amp; " sürecinin "&amp; "sürecinin müşterlerinin memnuniyeti ölçülüyor mu?"</f>
        <v>M02 Yeni Ürün Devreye Alma sürecinin sürecinin müşterlerinin memnuniyeti ölçülüyor mu?</v>
      </c>
      <c r="E69" s="7"/>
      <c r="F69" s="24"/>
      <c r="G69" s="12" t="s">
        <v>32</v>
      </c>
      <c r="H69" s="23" t="str">
        <f t="shared" si="2"/>
        <v>Kalite Sistem Yöneticisi</v>
      </c>
      <c r="I69" s="59" t="s">
        <v>117</v>
      </c>
      <c r="J69" s="60"/>
      <c r="K69" s="33" t="s">
        <v>107</v>
      </c>
      <c r="L69" s="8"/>
      <c r="M69" s="8"/>
      <c r="N69" s="8"/>
      <c r="O69" s="8"/>
    </row>
    <row r="70" spans="2:15" ht="26.4" x14ac:dyDescent="0.25">
      <c r="B70" s="9">
        <v>6</v>
      </c>
      <c r="C70" s="6">
        <v>64</v>
      </c>
      <c r="D70" s="7" t="str">
        <f>I2&amp; " sürecinin "&amp; "izlenmesi ve ölçülmesine ait sonuçlar, istatitiksel yöntemler ile analiz ediliyor ve değerlendiriliyor mu?"</f>
        <v>M02 Yeni Ürün Devreye Alma sürecinin izlenmesi ve ölçülmesine ait sonuçlar, istatitiksel yöntemler ile analiz ediliyor ve değerlendiriliyor mu?</v>
      </c>
      <c r="E70" s="7"/>
      <c r="F70" s="24"/>
      <c r="G70" s="12" t="s">
        <v>33</v>
      </c>
      <c r="H70" s="23" t="str">
        <f t="shared" si="2"/>
        <v>Kalite Sistem Yöneticisi</v>
      </c>
      <c r="I70" s="59" t="s">
        <v>117</v>
      </c>
      <c r="J70" s="60"/>
      <c r="K70" s="33" t="s">
        <v>107</v>
      </c>
      <c r="L70" s="8"/>
      <c r="M70" s="8"/>
      <c r="N70" s="8"/>
      <c r="O70" s="8"/>
    </row>
    <row r="71" spans="2:15" ht="37.5" customHeight="1" x14ac:dyDescent="0.25">
      <c r="C71" s="25" t="s">
        <v>38</v>
      </c>
      <c r="K71" s="57">
        <v>64</v>
      </c>
    </row>
    <row r="73" spans="2:15" ht="15.6" x14ac:dyDescent="0.3">
      <c r="C73" s="34" t="s">
        <v>108</v>
      </c>
      <c r="D73" s="35"/>
      <c r="E73" s="35"/>
      <c r="F73" s="36"/>
      <c r="G73" s="35"/>
    </row>
    <row r="74" spans="2:15" ht="14.4" x14ac:dyDescent="0.3">
      <c r="C74" s="37" t="s">
        <v>109</v>
      </c>
      <c r="D74" s="35"/>
      <c r="E74" s="35"/>
      <c r="F74" s="36"/>
      <c r="G74" s="35"/>
    </row>
    <row r="75" spans="2:15" ht="14.4" x14ac:dyDescent="0.3">
      <c r="C75" s="86" t="s">
        <v>155</v>
      </c>
      <c r="D75" s="87"/>
      <c r="E75" s="88"/>
      <c r="F75" s="36"/>
      <c r="G75" s="35"/>
    </row>
    <row r="76" spans="2:15" ht="14.4" x14ac:dyDescent="0.3">
      <c r="C76" s="38"/>
      <c r="D76" s="39"/>
      <c r="E76" s="40"/>
      <c r="F76" s="36"/>
      <c r="G76" s="35"/>
    </row>
    <row r="77" spans="2:15" ht="14.4" x14ac:dyDescent="0.3">
      <c r="C77" s="41"/>
      <c r="D77" s="35"/>
      <c r="E77" s="35"/>
      <c r="F77" s="36"/>
      <c r="G77" s="35"/>
    </row>
    <row r="78" spans="2:15" ht="14.4" x14ac:dyDescent="0.3">
      <c r="C78" s="37" t="s">
        <v>110</v>
      </c>
      <c r="D78" s="35"/>
      <c r="E78" s="35"/>
      <c r="F78" s="36"/>
      <c r="G78" s="35"/>
    </row>
    <row r="79" spans="2:15" ht="14.4" x14ac:dyDescent="0.3">
      <c r="C79" s="89" t="s">
        <v>133</v>
      </c>
      <c r="D79" s="90"/>
      <c r="E79" s="91"/>
      <c r="F79" s="36"/>
      <c r="G79" s="35"/>
    </row>
    <row r="80" spans="2:15" ht="14.4" x14ac:dyDescent="0.3">
      <c r="C80" s="92"/>
      <c r="D80" s="93"/>
      <c r="E80" s="94"/>
      <c r="F80" s="36"/>
      <c r="G80" s="35"/>
    </row>
    <row r="81" spans="3:9" ht="14.4" x14ac:dyDescent="0.3">
      <c r="C81" s="41"/>
      <c r="D81" s="35"/>
      <c r="E81" s="35"/>
      <c r="F81" s="36"/>
      <c r="G81" s="35"/>
    </row>
    <row r="82" spans="3:9" ht="14.4" x14ac:dyDescent="0.3">
      <c r="C82" s="37" t="s">
        <v>111</v>
      </c>
      <c r="D82" s="35"/>
      <c r="E82" s="35"/>
      <c r="F82" s="36"/>
      <c r="G82" s="35"/>
    </row>
    <row r="83" spans="3:9" ht="14.4" x14ac:dyDescent="0.3">
      <c r="C83" s="83"/>
      <c r="D83" s="84"/>
      <c r="E83" s="42"/>
      <c r="F83" s="36"/>
      <c r="G83" s="35"/>
    </row>
    <row r="84" spans="3:9" ht="14.4" x14ac:dyDescent="0.3">
      <c r="C84" s="43"/>
      <c r="D84" s="39"/>
      <c r="E84" s="40"/>
      <c r="F84" s="36"/>
      <c r="G84" s="35"/>
    </row>
    <row r="85" spans="3:9" ht="15.6" x14ac:dyDescent="0.3">
      <c r="C85" s="34" t="s">
        <v>112</v>
      </c>
      <c r="D85" s="35"/>
      <c r="E85" s="35"/>
      <c r="F85" s="36"/>
      <c r="G85" s="35"/>
    </row>
    <row r="86" spans="3:9" ht="14.4" x14ac:dyDescent="0.3">
      <c r="C86" s="85">
        <v>100</v>
      </c>
      <c r="D86" s="85"/>
      <c r="E86" s="85"/>
      <c r="F86" s="36"/>
      <c r="G86" s="35"/>
    </row>
    <row r="87" spans="3:9" ht="14.4" x14ac:dyDescent="0.3">
      <c r="C87" s="44"/>
      <c r="D87" s="35"/>
      <c r="E87" s="35"/>
      <c r="F87" s="36"/>
      <c r="G87" s="45"/>
    </row>
    <row r="88" spans="3:9" ht="14.4" x14ac:dyDescent="0.3">
      <c r="C88" s="44"/>
      <c r="D88" s="35"/>
      <c r="E88" s="35"/>
      <c r="F88" s="36"/>
      <c r="G88" s="46" t="s">
        <v>113</v>
      </c>
      <c r="H88" s="48"/>
      <c r="I88" s="54" t="s">
        <v>156</v>
      </c>
    </row>
    <row r="89" spans="3:9" ht="14.4" x14ac:dyDescent="0.3">
      <c r="C89" s="44"/>
      <c r="D89" s="35"/>
      <c r="E89" s="35"/>
      <c r="F89" s="36"/>
      <c r="G89" s="47" t="s">
        <v>157</v>
      </c>
      <c r="H89" s="48"/>
      <c r="I89" s="54"/>
    </row>
  </sheetData>
  <mergeCells count="77">
    <mergeCell ref="C75:E75"/>
    <mergeCell ref="C79:E80"/>
    <mergeCell ref="I31:J31"/>
    <mergeCell ref="I33:J33"/>
    <mergeCell ref="I34:J34"/>
    <mergeCell ref="I35:J35"/>
    <mergeCell ref="I36:J36"/>
    <mergeCell ref="C83:D83"/>
    <mergeCell ref="C86:E86"/>
    <mergeCell ref="I38:J38"/>
    <mergeCell ref="I46:J46"/>
    <mergeCell ref="I57:J57"/>
    <mergeCell ref="I60:J60"/>
    <mergeCell ref="I65:J65"/>
    <mergeCell ref="I66:J66"/>
    <mergeCell ref="I63:J63"/>
    <mergeCell ref="I62:J62"/>
    <mergeCell ref="I39:J39"/>
    <mergeCell ref="I40:J40"/>
    <mergeCell ref="I41:J41"/>
    <mergeCell ref="I58:J58"/>
    <mergeCell ref="I59:J59"/>
    <mergeCell ref="I44:J44"/>
    <mergeCell ref="K4:O4"/>
    <mergeCell ref="I70:J70"/>
    <mergeCell ref="I54:J54"/>
    <mergeCell ref="I55:J55"/>
    <mergeCell ref="I56:J56"/>
    <mergeCell ref="I64:J64"/>
    <mergeCell ref="I67:J67"/>
    <mergeCell ref="I68:J68"/>
    <mergeCell ref="I49:J49"/>
    <mergeCell ref="K5:N5"/>
    <mergeCell ref="I17:J17"/>
    <mergeCell ref="I11:J11"/>
    <mergeCell ref="I12:J12"/>
    <mergeCell ref="I13:J13"/>
    <mergeCell ref="I14:J14"/>
    <mergeCell ref="I15:J15"/>
    <mergeCell ref="C4:D4"/>
    <mergeCell ref="G2:H2"/>
    <mergeCell ref="F5:F6"/>
    <mergeCell ref="I69:J69"/>
    <mergeCell ref="D5:D6"/>
    <mergeCell ref="I53:J53"/>
    <mergeCell ref="I18:J18"/>
    <mergeCell ref="I20:J20"/>
    <mergeCell ref="I21:J21"/>
    <mergeCell ref="I50:J50"/>
    <mergeCell ref="I51:J51"/>
    <mergeCell ref="I52:J52"/>
    <mergeCell ref="I22:J22"/>
    <mergeCell ref="I23:J23"/>
    <mergeCell ref="I24:J24"/>
    <mergeCell ref="G5:G6"/>
    <mergeCell ref="I10:J10"/>
    <mergeCell ref="I48:J48"/>
    <mergeCell ref="B5:B6"/>
    <mergeCell ref="I5:J6"/>
    <mergeCell ref="I7:J7"/>
    <mergeCell ref="I8:J8"/>
    <mergeCell ref="I9:J9"/>
    <mergeCell ref="H5:H6"/>
    <mergeCell ref="C5:C6"/>
    <mergeCell ref="E5:E6"/>
    <mergeCell ref="I32:J32"/>
    <mergeCell ref="I27:J27"/>
    <mergeCell ref="I19:J19"/>
    <mergeCell ref="I26:J26"/>
    <mergeCell ref="I37:J37"/>
    <mergeCell ref="I25:J25"/>
    <mergeCell ref="I29:J29"/>
    <mergeCell ref="I28:J28"/>
    <mergeCell ref="I30:J30"/>
    <mergeCell ref="I47:J47"/>
    <mergeCell ref="I16:J16"/>
    <mergeCell ref="I45:J45"/>
  </mergeCells>
  <conditionalFormatting sqref="F7:F70">
    <cfRule type="expression" dxfId="0" priority="2">
      <formula>F7="N/A"</formula>
    </cfRule>
  </conditionalFormatting>
  <dataValidations count="1">
    <dataValidation type="list" allowBlank="1" showInputMessage="1" showErrorMessage="1" sqref="F7:F70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0" fitToHeight="0" orientation="landscape" r:id="rId1"/>
  <headerFooter>
    <oddFooter>&amp;R&amp;"Arial,Normal"Y03 F17(1)_07.04.2025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6"/>
  <sheetViews>
    <sheetView topLeftCell="A16" workbookViewId="0">
      <selection activeCell="A37" sqref="A37"/>
    </sheetView>
  </sheetViews>
  <sheetFormatPr defaultRowHeight="14.4" x14ac:dyDescent="0.3"/>
  <cols>
    <col min="1" max="1" width="186.5546875" bestFit="1" customWidth="1"/>
  </cols>
  <sheetData>
    <row r="1" spans="1:1" x14ac:dyDescent="0.3">
      <c r="A1" t="s">
        <v>94</v>
      </c>
    </row>
    <row r="2" spans="1:1" x14ac:dyDescent="0.3">
      <c r="A2" t="s">
        <v>88</v>
      </c>
    </row>
    <row r="3" spans="1:1" x14ac:dyDescent="0.3">
      <c r="A3" t="s">
        <v>93</v>
      </c>
    </row>
    <row r="4" spans="1:1" x14ac:dyDescent="0.3">
      <c r="A4" t="s">
        <v>42</v>
      </c>
    </row>
    <row r="5" spans="1:1" x14ac:dyDescent="0.3">
      <c r="A5" t="s">
        <v>43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63</v>
      </c>
    </row>
    <row r="9" spans="1:1" x14ac:dyDescent="0.3">
      <c r="A9" t="s">
        <v>64</v>
      </c>
    </row>
    <row r="10" spans="1:1" x14ac:dyDescent="0.3">
      <c r="A10" t="s">
        <v>55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87</v>
      </c>
    </row>
    <row r="18" spans="1:1" x14ac:dyDescent="0.3">
      <c r="A18" t="s">
        <v>71</v>
      </c>
    </row>
    <row r="19" spans="1:1" x14ac:dyDescent="0.3">
      <c r="A19" t="s">
        <v>72</v>
      </c>
    </row>
    <row r="20" spans="1:1" x14ac:dyDescent="0.3">
      <c r="A20" t="s">
        <v>73</v>
      </c>
    </row>
    <row r="21" spans="1:1" x14ac:dyDescent="0.3">
      <c r="A21" t="s">
        <v>74</v>
      </c>
    </row>
    <row r="22" spans="1:1" x14ac:dyDescent="0.3">
      <c r="A22" t="s">
        <v>45</v>
      </c>
    </row>
    <row r="23" spans="1:1" x14ac:dyDescent="0.3">
      <c r="A23" t="s">
        <v>54</v>
      </c>
    </row>
    <row r="24" spans="1:1" x14ac:dyDescent="0.3">
      <c r="A24" t="s">
        <v>56</v>
      </c>
    </row>
    <row r="25" spans="1:1" x14ac:dyDescent="0.3">
      <c r="A25" t="s">
        <v>58</v>
      </c>
    </row>
    <row r="26" spans="1:1" x14ac:dyDescent="0.3">
      <c r="A26" t="s">
        <v>44</v>
      </c>
    </row>
    <row r="27" spans="1:1" x14ac:dyDescent="0.3">
      <c r="A27" t="s">
        <v>52</v>
      </c>
    </row>
    <row r="28" spans="1:1" x14ac:dyDescent="0.3">
      <c r="A28" t="s">
        <v>51</v>
      </c>
    </row>
    <row r="29" spans="1:1" x14ac:dyDescent="0.3">
      <c r="A29" t="s">
        <v>50</v>
      </c>
    </row>
    <row r="30" spans="1:1" x14ac:dyDescent="0.3">
      <c r="A30" t="s">
        <v>53</v>
      </c>
    </row>
    <row r="31" spans="1:1" x14ac:dyDescent="0.3">
      <c r="A31" t="s">
        <v>57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49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91</v>
      </c>
    </row>
    <row r="66" spans="1:1" x14ac:dyDescent="0.3">
      <c r="A6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SORU LİSTESİ</vt:lpstr>
      <vt:lpstr>Sayfa1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2025-04-25T14:54:10Z</dcterms:modified>
</cp:coreProperties>
</file>