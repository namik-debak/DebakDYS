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B0E6A40E-B4FF-47CA-B336-8FABE4057352}" xr6:coauthVersionLast="47" xr6:coauthVersionMax="47" xr10:uidLastSave="{00000000-0000-0000-0000-000000000000}"/>
  <bookViews>
    <workbookView xWindow="-108" yWindow="-108" windowWidth="23256" windowHeight="12456" tabRatio="541" xr2:uid="{00000000-000D-0000-FFFF-FFFF00000000}"/>
  </bookViews>
  <sheets>
    <sheet name="SORU LİSTESİ" sheetId="2" r:id="rId1"/>
  </sheets>
  <definedNames>
    <definedName name="_xlnm.Print_Area" localSheetId="0">'SORU LİSTESİ'!$C$2:$O$38</definedName>
    <definedName name="_xlnm.Print_Titles" localSheetId="0">'SORU LİSTESİ'!$2:$6</definedName>
  </definedNames>
  <calcPr calcId="191029"/>
</workbook>
</file>

<file path=xl/calcChain.xml><?xml version="1.0" encoding="utf-8"?>
<calcChain xmlns="http://schemas.openxmlformats.org/spreadsheetml/2006/main">
  <c r="D37" i="2" l="1"/>
  <c r="D36" i="2"/>
  <c r="D35" i="2"/>
  <c r="H37" i="2"/>
  <c r="H36" i="2"/>
  <c r="H35" i="2"/>
  <c r="H34" i="2"/>
  <c r="H24" i="2"/>
  <c r="D34" i="2"/>
  <c r="D24" i="2"/>
  <c r="D23" i="2"/>
  <c r="D22" i="2"/>
  <c r="D21" i="2"/>
  <c r="D20" i="2"/>
  <c r="H19" i="2"/>
  <c r="D19" i="2"/>
  <c r="D18" i="2"/>
  <c r="D17" i="2"/>
  <c r="D16" i="2"/>
  <c r="H23" i="2"/>
  <c r="H22" i="2"/>
  <c r="H21" i="2"/>
  <c r="H20" i="2"/>
  <c r="H18" i="2"/>
  <c r="H17" i="2"/>
  <c r="H15" i="2"/>
  <c r="H16" i="2"/>
  <c r="D15" i="2"/>
  <c r="H13" i="2"/>
  <c r="H14" i="2"/>
  <c r="D13" i="2"/>
  <c r="D14" i="2"/>
  <c r="H12" i="2"/>
  <c r="D12" i="2"/>
  <c r="H11" i="2"/>
  <c r="H10" i="2"/>
  <c r="D11" i="2"/>
  <c r="D10" i="2"/>
  <c r="H9" i="2"/>
  <c r="D9" i="2"/>
  <c r="H8" i="2"/>
  <c r="H7" i="2"/>
  <c r="D8" i="2"/>
  <c r="D7" i="2"/>
</calcChain>
</file>

<file path=xl/sharedStrings.xml><?xml version="1.0" encoding="utf-8"?>
<sst xmlns="http://schemas.openxmlformats.org/spreadsheetml/2006/main" count="141" uniqueCount="102">
  <si>
    <t>DENETİM  RAPORU</t>
  </si>
  <si>
    <t>GÖZLEM / DELİL</t>
  </si>
  <si>
    <t>BULGU</t>
  </si>
  <si>
    <t>Evet</t>
  </si>
  <si>
    <t>Majör</t>
  </si>
  <si>
    <t>Minör</t>
  </si>
  <si>
    <t>İyil.</t>
  </si>
  <si>
    <t>Şart No</t>
  </si>
  <si>
    <t>NO</t>
  </si>
  <si>
    <t>DF</t>
  </si>
  <si>
    <t>No</t>
  </si>
  <si>
    <t>TİP</t>
  </si>
  <si>
    <t>Denetçi(ler):</t>
  </si>
  <si>
    <t>4.4</t>
  </si>
  <si>
    <t>6.2</t>
  </si>
  <si>
    <t>6.1</t>
  </si>
  <si>
    <t>6.3</t>
  </si>
  <si>
    <t>9.2</t>
  </si>
  <si>
    <t>9.3</t>
  </si>
  <si>
    <t>10.2</t>
  </si>
  <si>
    <t>10.3</t>
  </si>
  <si>
    <t>7.4</t>
  </si>
  <si>
    <t>7.1.3</t>
  </si>
  <si>
    <t>7.1.4</t>
  </si>
  <si>
    <t>7.1.5</t>
  </si>
  <si>
    <t>5.2</t>
  </si>
  <si>
    <t>5.3</t>
  </si>
  <si>
    <t>7.1.2</t>
  </si>
  <si>
    <t>7.2</t>
  </si>
  <si>
    <t>7.3</t>
  </si>
  <si>
    <t>7.5</t>
  </si>
  <si>
    <t>9.1.1</t>
  </si>
  <si>
    <t>9.1.2</t>
  </si>
  <si>
    <t>9.1.3</t>
  </si>
  <si>
    <t xml:space="preserve">Kime </t>
  </si>
  <si>
    <t>Süreç Lideri:</t>
  </si>
  <si>
    <t xml:space="preserve">Süreç Adı: </t>
  </si>
  <si>
    <t>N/A</t>
  </si>
  <si>
    <t>N/A : Uygulanamaz (Non Applicable)</t>
  </si>
  <si>
    <t>SORU</t>
  </si>
  <si>
    <t>İşlemNo</t>
  </si>
  <si>
    <t>Lojistik Yöneticisi</t>
  </si>
  <si>
    <t>Ana Referansı:T1 P7.02  Üretim Planlama Prosedürü-T1 P 7.06 Ürünün Depolanması ve Muhafazası Prosedürü-T1 P 7.05 Sevkiyat &amp; Teslimat Prosedürü</t>
  </si>
  <si>
    <t>8.5.1.7</t>
  </si>
  <si>
    <t>Üretim Panlama Sorumlusu</t>
  </si>
  <si>
    <t>Üretim planlama sürecinin işleyişini gösteren prosedür mevcut mu, süreç etkin olarak işletilmekte mi, roller tanımlanmış mıdır?</t>
  </si>
  <si>
    <t>Lojistik yön.,Planlama Sorumlusu</t>
  </si>
  <si>
    <t>Sipariş kaydının oluşturulması sonrası üretim kapasite hesabı gerçekleştirilmekte midir? Sipariş onayı verilmeden iş merkezleri bazında kapasite hesabı yapılmakta mıdır? Termin tarihi ve üretim iş yükü göz önüne alınarak mı planlanır?</t>
  </si>
  <si>
    <t>Yeni ürün siparişinde planlamanın gerçekleştirilebilmesi amacı ile tanımlama ya da stok kartları oluşturulmakta mıdır, planlama ile ilgili girdiler( çevrim süresi- kavite sayısı v.s) oluşturulmakta ve kayıt altına alınmakta mıdır?</t>
  </si>
  <si>
    <t>Ana üretim planının hazırlanması ile ilgili methodlar belirlenmiş midir, ilgili kişiler ile paylaşım sağlanmakta mıdır?</t>
  </si>
  <si>
    <t>Lojistik yön.</t>
  </si>
  <si>
    <t>Üretim Planlama Prosesinde üretim programının hazırlanması ve diğer birimler ile paylaşım teknikleri belirlenmiş midir?Roller tanımlanmış, tüm kayıtlara erişim sağlanabiliyor mu?</t>
  </si>
  <si>
    <t>İzlenebilirliğin sağlanması amacı ile ürünün benzersiz bir şekilde kodlama sistematiği belirlenmiş midir, izlenebilirlik sağlanabiliyor mu?</t>
  </si>
  <si>
    <t>8.5.2</t>
  </si>
  <si>
    <t>Planlama Sorumlusu</t>
  </si>
  <si>
    <t>Müşteri mülkiyetleri tanımlanmış mıdır? Hasar görme ya da kaybolma durumunda müşteriye bilgi verme durumları tanımlı mıdır?</t>
  </si>
  <si>
    <t>8.5.3</t>
  </si>
  <si>
    <t>Satış&amp;Proje Yön.&amp;Kalite sistem yön.&amp; Üretim-Tasarım yön.</t>
  </si>
  <si>
    <t xml:space="preserve">Ürün muhafazası, taşıma ve ambalajlama, depolama ve koruma koşulları tanımlanmış mıdır, </t>
  </si>
  <si>
    <t xml:space="preserve">Lojistik Yön.
Planlama Sor., 
</t>
  </si>
  <si>
    <t>8.5.4</t>
  </si>
  <si>
    <t>Depo Sorumlusu</t>
  </si>
  <si>
    <t>Organizasyon,raf ömrü olan materyaller için muhafaza koşulları tanımlanmış mı,  zaman içinde stok dönüşlerini optimize etmek ve stok rotasyonunu sağlama üzere bir stok yönetim sistemi kullanmakta mıdır?</t>
  </si>
  <si>
    <t>Güllü ÜNLÜ</t>
  </si>
  <si>
    <t>Süreç Bazlı risk analizi içersinde kaplumbağa diyagramında belirtilmiştir.</t>
  </si>
  <si>
    <t xml:space="preserve">D6 Süreç Risk Analizi </t>
  </si>
  <si>
    <t>Y1 P5.01(6) Strateji Yönetimi ve Kurumsal İletişim Prosedürü_15.01.2018</t>
  </si>
  <si>
    <t>Y3 P8.01 DENETİM YÖNETİMİ PROSEDÜRÜ uygun gerçekleştirilmektedir. Süreç Bazlı İç Denetim Planına uygun gerçekleştirilmektedir.</t>
  </si>
  <si>
    <t>Süreç Bazlı YGG toplantıları gerçekleştirilmekte ve analiz ve değerlendirmeler gerçekleştirilmektedir.</t>
  </si>
  <si>
    <t>Performans Raporları ile gözden geçirilmektedir. Ve Aksiyon Listesinde takip edilmektedir.</t>
  </si>
  <si>
    <t>T1 P7.02  Üretim Planlama Prosedürü</t>
  </si>
  <si>
    <t>T1 T7. 01 Depo Alanları Kullanım Talimatı, T1 T 7.03 Hammadde tanımlama &amp; Dağıtım ve Kullanım Talimatı.</t>
  </si>
  <si>
    <t>√</t>
  </si>
  <si>
    <t xml:space="preserve"> Bahadır PAYİR, Abdullah UĞURLU</t>
  </si>
  <si>
    <t>DENETİM BULGULARI:</t>
  </si>
  <si>
    <t xml:space="preserve">1) Uygunsuzluklar: </t>
  </si>
  <si>
    <t>Uygunsuzluk tespit edilmemiştir.</t>
  </si>
  <si>
    <t>2) Kuvvetli Yönler:</t>
  </si>
  <si>
    <t>3) İyileştirme Önerileri:</t>
  </si>
  <si>
    <t>DENETİM SONUCU:</t>
  </si>
  <si>
    <t>İsim Soyisim</t>
  </si>
  <si>
    <t>Güllü Ünlü</t>
  </si>
  <si>
    <t>Müşteri Kalite ve teslimat performasları aylık olarak takip edilmektedir.</t>
  </si>
  <si>
    <t>T1 P7.02  Üretim Planlama Prosedürü, T1 P 7.06 Ürünün Depolanması ve Muhafazası Prosedürü, T1 P 7.05 Sevkiyat &amp; Teslimat Prosedürü Rev 5 dokümanları mevcuttur.</t>
  </si>
  <si>
    <t>T1 F 7.09  Musteri Varlıkları İzleme Listesi, T1 P 7.01 Pazarlama &amp; Satış Prosedürü hasar görme ve kaybolma durumu belirtilmiştir.</t>
  </si>
  <si>
    <t>Kalite politikasına erişim sağlanmaktadır.</t>
  </si>
  <si>
    <t>Y1 T5.13 Görev Tanımı - Planlama Sorumlusu</t>
  </si>
  <si>
    <t>Personel yeterlilikleri mevcuttur.D2 F 6.01 Personel Yetkinlik İzleme Tablosu 2021</t>
  </si>
  <si>
    <t>T1 P7.02  Üretim Planlama Prosedürü, Debak SSK proğramı ile kayıtlara erişilmektedir.</t>
  </si>
  <si>
    <t xml:space="preserve">Fifo uygulaması yapılmaktadır. Malzemler için raf ömürleri tanımlanmış olup, kullanılan yazılım üzerinde erişilmekte ve üretim deposuna verildiğinde uyarı vermektedır                                                                    </t>
  </si>
  <si>
    <t>D2 P 6.02 Eğitim Prosedürü Rev 5, D2 F06.05 Yıllık Eğitim Planı mevcuttur. Eğitim takip listesi ve değerlendirmeler mevcuttur.</t>
  </si>
  <si>
    <t xml:space="preserve">Planlama ile ilgili yazılım proğramları aktif olarak kullanılmaktadır. Fifo uygulaması sistem üzerinden rahatlıkla takip edilmektedir. </t>
  </si>
  <si>
    <t>Denetim Tarihi ve Kodu: 09.05.2022</t>
  </si>
  <si>
    <t xml:space="preserve">a Yıllık olarak YGG Raporlarında gözden geçirilmektedir. Bkz.YGG- D6 Üretim Planlama </t>
  </si>
  <si>
    <t>Planlama için Canias Proğramı kullanılmaya başlanacaktır. Sipariş, stok, üretim ve planlama sağlanmış olacaktır. Yazılım ile desteklenecektir.</t>
  </si>
  <si>
    <t>stok kartları ile proğramda ürün ağacı oluşturulmakta ve ürün ile ilgili tüm gereklilikler takip edilmektedir. Tüm Planlama girdileri kayıt altındadır.</t>
  </si>
  <si>
    <t>Canias Proğramı ile izlenebilrilik barkodlar ile sağlanmakta ve veriler proğram üzerinden takip eidlmketedir.</t>
  </si>
  <si>
    <t>Üretim Planlama Performans İzleme Tablosu -2022 tanımlanmış olup, veriler takip edilmektedir.</t>
  </si>
  <si>
    <t>Kapasite hesaplaması yetersizdir.Canias proğramında veriler yeni alınmaya başlandığı ve proğram yeni devreye alındağından. Bu yılın 2. yarısından sonra tüm veriler alınabilecektir.</t>
  </si>
  <si>
    <t>İş Merkezi bazında kapasite hesaplaması yazılım ile destelenmelidir.</t>
  </si>
  <si>
    <t>M03 ÜRETİM PLANLAMA YÖNETİMİ</t>
  </si>
  <si>
    <t xml:space="preserve">İmza ve tarih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</si>
</sst>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sz val="11"/>
      <name val="Arial"/>
      <family val="2"/>
      <charset val="162"/>
    </font>
    <font>
      <sz val="6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8"/>
      <name val="Arial"/>
      <family val="2"/>
      <charset val="162"/>
    </font>
    <font>
      <b/>
      <sz val="8"/>
      <color theme="1"/>
      <name val="Arial"/>
      <family val="2"/>
      <charset val="162"/>
    </font>
    <font>
      <sz val="16"/>
      <color theme="1"/>
      <name val="Arial Tur"/>
      <charset val="162"/>
    </font>
    <font>
      <b/>
      <sz val="12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color theme="1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3">
    <xf numFmtId="0" fontId="0" fillId="0" borderId="0" xfId="0"/>
    <xf numFmtId="0" fontId="2" fillId="0" borderId="0" xfId="0" applyFont="1"/>
    <xf numFmtId="0" fontId="6" fillId="2" borderId="2" xfId="0" applyFont="1" applyFill="1" applyBorder="1" applyAlignment="1">
      <alignment horizontal="left" vertical="center"/>
    </xf>
    <xf numFmtId="49" fontId="7" fillId="3" borderId="4" xfId="0" applyNumberFormat="1" applyFont="1" applyFill="1" applyBorder="1"/>
    <xf numFmtId="0" fontId="4" fillId="3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/>
    <xf numFmtId="0" fontId="2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10" fillId="4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0" xfId="0" applyFont="1"/>
    <xf numFmtId="49" fontId="9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6" xfId="0" quotePrefix="1" applyFont="1" applyFill="1" applyBorder="1" applyAlignment="1">
      <alignment horizontal="left" vertical="center" wrapText="1"/>
    </xf>
    <xf numFmtId="0" fontId="4" fillId="4" borderId="6" xfId="0" quotePrefix="1" applyFont="1" applyFill="1" applyBorder="1" applyAlignment="1">
      <alignment horizontal="left" vertical="center" wrapText="1"/>
    </xf>
    <xf numFmtId="49" fontId="7" fillId="0" borderId="6" xfId="0" quotePrefix="1" applyNumberFormat="1" applyFont="1" applyBorder="1" applyAlignment="1">
      <alignment horizontal="center" vertical="center" wrapText="1"/>
    </xf>
    <xf numFmtId="49" fontId="11" fillId="0" borderId="1" xfId="0" quotePrefix="1" applyNumberFormat="1" applyFont="1" applyBorder="1" applyAlignment="1">
      <alignment horizontal="left" vertical="center" wrapText="1"/>
    </xf>
    <xf numFmtId="49" fontId="7" fillId="4" borderId="6" xfId="0" quotePrefix="1" applyNumberFormat="1" applyFont="1" applyFill="1" applyBorder="1" applyAlignment="1">
      <alignment horizontal="center" vertical="center" wrapText="1"/>
    </xf>
    <xf numFmtId="49" fontId="9" fillId="4" borderId="1" xfId="0" quotePrefix="1" applyNumberFormat="1" applyFont="1" applyFill="1" applyBorder="1" applyAlignment="1">
      <alignment horizontal="left" vertical="center" wrapText="1"/>
    </xf>
    <xf numFmtId="49" fontId="6" fillId="2" borderId="1" xfId="0" quotePrefix="1" applyNumberFormat="1" applyFont="1" applyFill="1" applyBorder="1" applyAlignment="1">
      <alignment horizontal="left" vertical="center"/>
    </xf>
    <xf numFmtId="0" fontId="1" fillId="0" borderId="6" xfId="0" applyFont="1" applyBorder="1"/>
    <xf numFmtId="0" fontId="9" fillId="0" borderId="0" xfId="0" applyFont="1"/>
    <xf numFmtId="0" fontId="13" fillId="2" borderId="2" xfId="0" quotePrefix="1" applyFont="1" applyFill="1" applyBorder="1" applyAlignment="1">
      <alignment horizontal="left" vertical="center"/>
    </xf>
    <xf numFmtId="0" fontId="13" fillId="2" borderId="2" xfId="0" applyFont="1" applyFill="1" applyBorder="1"/>
    <xf numFmtId="0" fontId="9" fillId="2" borderId="2" xfId="0" applyFont="1" applyFill="1" applyBorder="1"/>
    <xf numFmtId="0" fontId="14" fillId="2" borderId="2" xfId="0" quotePrefix="1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6" xfId="0" quotePrefix="1" applyFont="1" applyBorder="1" applyAlignment="1">
      <alignment horizontal="left" wrapText="1"/>
    </xf>
    <xf numFmtId="0" fontId="15" fillId="0" borderId="6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right"/>
    </xf>
    <xf numFmtId="0" fontId="16" fillId="5" borderId="0" xfId="0" applyFont="1" applyFill="1"/>
    <xf numFmtId="0" fontId="0" fillId="5" borderId="0" xfId="0" applyFill="1"/>
    <xf numFmtId="0" fontId="17" fillId="5" borderId="0" xfId="0" applyFont="1" applyFill="1"/>
    <xf numFmtId="0" fontId="18" fillId="5" borderId="0" xfId="0" applyFont="1" applyFill="1"/>
    <xf numFmtId="0" fontId="4" fillId="3" borderId="10" xfId="0" applyFont="1" applyFill="1" applyBorder="1" applyAlignment="1">
      <alignment horizontal="left"/>
    </xf>
    <xf numFmtId="0" fontId="0" fillId="3" borderId="12" xfId="0" applyFill="1" applyBorder="1"/>
    <xf numFmtId="0" fontId="0" fillId="3" borderId="9" xfId="0" applyFill="1" applyBorder="1"/>
    <xf numFmtId="0" fontId="4" fillId="5" borderId="0" xfId="0" applyFont="1" applyFill="1" applyAlignment="1">
      <alignment horizontal="left"/>
    </xf>
    <xf numFmtId="0" fontId="0" fillId="3" borderId="8" xfId="0" applyFill="1" applyBorder="1"/>
    <xf numFmtId="0" fontId="0" fillId="3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4" fillId="5" borderId="0" xfId="0" applyFont="1" applyFill="1"/>
    <xf numFmtId="49" fontId="1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0" fontId="19" fillId="0" borderId="0" xfId="0" applyFont="1"/>
    <xf numFmtId="49" fontId="1" fillId="0" borderId="0" xfId="0" applyNumberFormat="1" applyFont="1" applyAlignment="1">
      <alignment horizontal="center" vertical="center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6" fillId="2" borderId="1" xfId="0" quotePrefix="1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6" fillId="2" borderId="2" xfId="0" quotePrefix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3" borderId="7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7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O57"/>
  <sheetViews>
    <sheetView showGridLines="0" tabSelected="1" zoomScaleNormal="100" workbookViewId="0">
      <pane ySplit="6" topLeftCell="A43" activePane="bottomLeft" state="frozen"/>
      <selection pane="bottomLeft" activeCell="I47" sqref="I47"/>
    </sheetView>
  </sheetViews>
  <sheetFormatPr defaultColWidth="9.109375" defaultRowHeight="13.8" x14ac:dyDescent="0.25"/>
  <cols>
    <col min="1" max="1" width="3.44140625" style="1" customWidth="1"/>
    <col min="2" max="2" width="4" style="9" customWidth="1"/>
    <col min="3" max="3" width="5.109375" style="1" customWidth="1"/>
    <col min="4" max="4" width="71.33203125" style="1" customWidth="1"/>
    <col min="5" max="5" width="6.109375" style="1" customWidth="1"/>
    <col min="6" max="6" width="5.44140625" style="1" customWidth="1"/>
    <col min="7" max="7" width="5.5546875" style="11" customWidth="1"/>
    <col min="8" max="8" width="10.5546875" style="11" customWidth="1"/>
    <col min="9" max="9" width="13.6640625" style="38" customWidth="1"/>
    <col min="10" max="10" width="31.6640625" style="38" customWidth="1"/>
    <col min="11" max="14" width="5.109375" style="1" customWidth="1"/>
    <col min="15" max="15" width="5.5546875" style="1" customWidth="1"/>
    <col min="16" max="16384" width="9.109375" style="1"/>
  </cols>
  <sheetData>
    <row r="1" spans="2:15" ht="6.75" customHeight="1" x14ac:dyDescent="0.25"/>
    <row r="2" spans="2:15" ht="21" x14ac:dyDescent="0.4">
      <c r="C2" s="16" t="s">
        <v>0</v>
      </c>
      <c r="D2" s="16"/>
      <c r="E2" s="17"/>
      <c r="F2" s="17"/>
      <c r="G2" s="75" t="s">
        <v>36</v>
      </c>
      <c r="H2" s="76"/>
      <c r="I2" s="39" t="s">
        <v>100</v>
      </c>
      <c r="J2" s="40"/>
      <c r="K2" s="17"/>
      <c r="L2" s="17"/>
      <c r="M2" s="17"/>
      <c r="N2" s="17"/>
      <c r="O2" s="18"/>
    </row>
    <row r="3" spans="2:15" ht="21" x14ac:dyDescent="0.4">
      <c r="C3" s="36" t="s">
        <v>92</v>
      </c>
      <c r="D3" s="13"/>
      <c r="E3" s="14"/>
      <c r="F3" s="14"/>
      <c r="G3" s="2" t="s">
        <v>12</v>
      </c>
      <c r="H3" s="2"/>
      <c r="I3" s="41" t="s">
        <v>63</v>
      </c>
      <c r="J3" s="41"/>
      <c r="K3" s="14"/>
      <c r="L3" s="14"/>
      <c r="M3" s="14"/>
      <c r="N3" s="14"/>
      <c r="O3" s="15"/>
    </row>
    <row r="4" spans="2:15" ht="40.5" customHeight="1" x14ac:dyDescent="0.25">
      <c r="C4" s="73" t="s">
        <v>42</v>
      </c>
      <c r="D4" s="74"/>
      <c r="E4" s="28"/>
      <c r="F4" s="28"/>
      <c r="G4" s="2" t="s">
        <v>35</v>
      </c>
      <c r="H4" s="2"/>
      <c r="I4" s="42" t="s">
        <v>41</v>
      </c>
      <c r="J4" s="47"/>
      <c r="K4" s="66" t="s">
        <v>73</v>
      </c>
      <c r="L4" s="66"/>
      <c r="M4" s="66"/>
      <c r="N4" s="66"/>
      <c r="O4" s="67"/>
    </row>
    <row r="5" spans="2:15" ht="15" customHeight="1" x14ac:dyDescent="0.25">
      <c r="B5" s="91" t="s">
        <v>11</v>
      </c>
      <c r="C5" s="98" t="s">
        <v>8</v>
      </c>
      <c r="D5" s="77" t="s">
        <v>39</v>
      </c>
      <c r="E5" s="100" t="s">
        <v>40</v>
      </c>
      <c r="F5" s="77" t="s">
        <v>37</v>
      </c>
      <c r="G5" s="96" t="s">
        <v>7</v>
      </c>
      <c r="H5" s="96" t="s">
        <v>34</v>
      </c>
      <c r="I5" s="92" t="s">
        <v>1</v>
      </c>
      <c r="J5" s="93"/>
      <c r="K5" s="70" t="s">
        <v>2</v>
      </c>
      <c r="L5" s="71"/>
      <c r="M5" s="71"/>
      <c r="N5" s="72"/>
      <c r="O5" s="3" t="s">
        <v>9</v>
      </c>
    </row>
    <row r="6" spans="2:15" ht="15" customHeight="1" x14ac:dyDescent="0.25">
      <c r="B6" s="91"/>
      <c r="C6" s="99"/>
      <c r="D6" s="78"/>
      <c r="E6" s="101"/>
      <c r="F6" s="78"/>
      <c r="G6" s="97"/>
      <c r="H6" s="97"/>
      <c r="I6" s="94"/>
      <c r="J6" s="95"/>
      <c r="K6" s="4" t="s">
        <v>3</v>
      </c>
      <c r="L6" s="4" t="s">
        <v>4</v>
      </c>
      <c r="M6" s="4" t="s">
        <v>5</v>
      </c>
      <c r="N6" s="4" t="s">
        <v>6</v>
      </c>
      <c r="O6" s="5" t="s">
        <v>10</v>
      </c>
    </row>
    <row r="7" spans="2:15" ht="52.8" x14ac:dyDescent="0.25">
      <c r="B7" s="10">
        <v>1</v>
      </c>
      <c r="C7" s="6">
        <v>1</v>
      </c>
      <c r="D7" s="7" t="str">
        <f>I2&amp; " süreci;"&amp; "girdi prosesleri, girdileri, çıktıları, çıktı prosesleri, işlemleri, işlemlerin yürütülme şekli, organizasyonu, altyapısı, riskleri, olası değişiklikleri, iyileştirme için performans parametreleri tanımlanmış mıdır? DOKÜMANTE BİLGİ (4.4.1)"</f>
        <v>M03 ÜRETİM PLANLAMA YÖNETİMİ süreci;girdi prosesleri, girdileri, çıktıları, çıktı prosesleri, işlemleri, işlemlerin yürütülme şekli, organizasyonu, altyapısı, riskleri, olası değişiklikleri, iyileştirme için performans parametreleri tanımlanmış mıdır? DOKÜMANTE BİLGİ (4.4.1)</v>
      </c>
      <c r="E7" s="7"/>
      <c r="F7" s="24"/>
      <c r="G7" s="12" t="s">
        <v>13</v>
      </c>
      <c r="H7" s="23" t="str">
        <f t="shared" ref="H7:H12" si="0">$I$4</f>
        <v>Lojistik Yöneticisi</v>
      </c>
      <c r="I7" s="68" t="s">
        <v>64</v>
      </c>
      <c r="J7" s="69"/>
      <c r="K7" s="46" t="s">
        <v>72</v>
      </c>
      <c r="L7" s="8"/>
      <c r="M7" s="8"/>
      <c r="N7" s="8"/>
      <c r="O7" s="8"/>
    </row>
    <row r="8" spans="2:15" ht="26.4" x14ac:dyDescent="0.25">
      <c r="B8" s="9">
        <v>1</v>
      </c>
      <c r="C8" s="6">
        <v>2</v>
      </c>
      <c r="D8" s="7" t="str">
        <f>I2&amp; " süreci;"&amp; " için risk ve fırsatları belirleme faaliyetleri gerçekleştirilmekte midir?"</f>
        <v>M03 ÜRETİM PLANLAMA YÖNETİMİ süreci; için risk ve fırsatları belirleme faaliyetleri gerçekleştirilmekte midir?</v>
      </c>
      <c r="E8" s="7"/>
      <c r="F8" s="24"/>
      <c r="G8" s="12" t="s">
        <v>15</v>
      </c>
      <c r="H8" s="23" t="str">
        <f t="shared" si="0"/>
        <v>Lojistik Yöneticisi</v>
      </c>
      <c r="I8" s="68" t="s">
        <v>65</v>
      </c>
      <c r="J8" s="69"/>
      <c r="K8" s="46" t="s">
        <v>72</v>
      </c>
      <c r="L8" s="8"/>
      <c r="M8" s="8"/>
      <c r="N8" s="8"/>
      <c r="O8" s="8"/>
    </row>
    <row r="9" spans="2:15" ht="26.4" x14ac:dyDescent="0.25">
      <c r="B9" s="9">
        <v>1</v>
      </c>
      <c r="C9" s="6">
        <v>3</v>
      </c>
      <c r="D9" s="7" t="str">
        <f>I2&amp; " süreci;"&amp; " için amaçlar ve bu amaçlara ulaşmak için aksiyonlar belirlenmiş midir? DOKÜMANTE BİLGİ (6.2.1)"</f>
        <v>M03 ÜRETİM PLANLAMA YÖNETİMİ süreci; için amaçlar ve bu amaçlara ulaşmak için aksiyonlar belirlenmiş midir? DOKÜMANTE BİLGİ (6.2.1)</v>
      </c>
      <c r="E9" s="7"/>
      <c r="F9" s="24"/>
      <c r="G9" s="12" t="s">
        <v>14</v>
      </c>
      <c r="H9" s="23" t="str">
        <f t="shared" si="0"/>
        <v>Lojistik Yöneticisi</v>
      </c>
      <c r="I9" s="68"/>
      <c r="J9" s="69"/>
      <c r="K9" s="46" t="s">
        <v>72</v>
      </c>
      <c r="L9" s="8"/>
      <c r="M9" s="8"/>
      <c r="N9" s="8"/>
      <c r="O9" s="8"/>
    </row>
    <row r="10" spans="2:15" ht="26.4" x14ac:dyDescent="0.25">
      <c r="B10" s="9">
        <v>1</v>
      </c>
      <c r="C10" s="6">
        <v>4</v>
      </c>
      <c r="D10" s="7" t="str">
        <f>I2&amp; " süreci;"&amp; " için sistematik olarak değişiklikler belirleniyor mu?"</f>
        <v>M03 ÜRETİM PLANLAMA YÖNETİMİ süreci; için sistematik olarak değişiklikler belirleniyor mu?</v>
      </c>
      <c r="E10" s="7"/>
      <c r="F10" s="24"/>
      <c r="G10" s="12" t="s">
        <v>16</v>
      </c>
      <c r="H10" s="23" t="str">
        <f t="shared" si="0"/>
        <v>Lojistik Yöneticisi</v>
      </c>
      <c r="I10" s="43"/>
      <c r="J10" s="44"/>
      <c r="K10" s="46" t="s">
        <v>72</v>
      </c>
      <c r="L10" s="8"/>
      <c r="M10" s="8"/>
      <c r="N10" s="8"/>
      <c r="O10" s="8"/>
    </row>
    <row r="11" spans="2:15" ht="35.25" customHeight="1" x14ac:dyDescent="0.25">
      <c r="B11" s="9">
        <v>1</v>
      </c>
      <c r="C11" s="6">
        <v>5</v>
      </c>
      <c r="D11" s="7" t="str">
        <f>I2&amp; " süreci;"&amp; " etkili bir iletişim planı var mıdır, bu plana göre etkili iletişimler gerçekleştirilmekte midir"</f>
        <v>M03 ÜRETİM PLANLAMA YÖNETİMİ süreci; etkili bir iletişim planı var mıdır, bu plana göre etkili iletişimler gerçekleştirilmekte midir</v>
      </c>
      <c r="E11" s="7"/>
      <c r="F11" s="24"/>
      <c r="G11" s="12" t="s">
        <v>21</v>
      </c>
      <c r="H11" s="23" t="str">
        <f t="shared" si="0"/>
        <v>Lojistik Yöneticisi</v>
      </c>
      <c r="I11" s="68" t="s">
        <v>66</v>
      </c>
      <c r="J11" s="69"/>
      <c r="K11" s="46" t="s">
        <v>72</v>
      </c>
      <c r="L11" s="8"/>
      <c r="M11" s="8"/>
      <c r="N11" s="37"/>
      <c r="O11" s="8"/>
    </row>
    <row r="12" spans="2:15" ht="39.6" x14ac:dyDescent="0.25">
      <c r="B12" s="9">
        <v>1</v>
      </c>
      <c r="C12" s="6">
        <v>6</v>
      </c>
      <c r="D12" s="7" t="str">
        <f>I2&amp; " süreci;"&amp; " iç tetkikleri, iç tetkik posedürüne uygun olarak olarak gerçekleştiriliyor mu, tetkik sonuçları iyileştirme faaliyetleri için girdi olarak kullanılıyor mu? DOKÜMANTE BİLGİ (9.2.2.f)"</f>
        <v>M03 ÜRETİM PLANLAMA YÖNETİMİ süreci; iç tetkikleri, iç tetkik posedürüne uygun olarak olarak gerçekleştiriliyor mu, tetkik sonuçları iyileştirme faaliyetleri için girdi olarak kullanılıyor mu? DOKÜMANTE BİLGİ (9.2.2.f)</v>
      </c>
      <c r="E12" s="7"/>
      <c r="F12" s="24"/>
      <c r="G12" s="12" t="s">
        <v>17</v>
      </c>
      <c r="H12" s="23" t="str">
        <f t="shared" si="0"/>
        <v>Lojistik Yöneticisi</v>
      </c>
      <c r="I12" s="68" t="s">
        <v>67</v>
      </c>
      <c r="J12" s="69"/>
      <c r="K12" s="46" t="s">
        <v>72</v>
      </c>
      <c r="L12" s="8"/>
      <c r="M12" s="8"/>
      <c r="N12" s="8"/>
      <c r="O12" s="8"/>
    </row>
    <row r="13" spans="2:15" ht="41.25" customHeight="1" x14ac:dyDescent="0.25">
      <c r="B13" s="9">
        <v>1</v>
      </c>
      <c r="C13" s="6">
        <v>7</v>
      </c>
      <c r="D13" s="7" t="str">
        <f>I2&amp; " süreci "&amp;  "belirlenen aralıklarda gözden geçiriliyor mu? DOKÜMANTE BİLGİ (9.3.3)"</f>
        <v>M03 ÜRETİM PLANLAMA YÖNETİMİ süreci belirlenen aralıklarda gözden geçiriliyor mu? DOKÜMANTE BİLGİ (9.3.3)</v>
      </c>
      <c r="E13" s="7"/>
      <c r="F13" s="24"/>
      <c r="G13" s="12" t="s">
        <v>18</v>
      </c>
      <c r="H13" s="23" t="str">
        <f t="shared" ref="H13:H24" si="1">$I$4</f>
        <v>Lojistik Yöneticisi</v>
      </c>
      <c r="I13" s="68" t="s">
        <v>93</v>
      </c>
      <c r="J13" s="69"/>
      <c r="K13" s="46" t="s">
        <v>72</v>
      </c>
      <c r="L13" s="8"/>
      <c r="M13" s="8"/>
      <c r="N13" s="8"/>
      <c r="O13" s="8"/>
    </row>
    <row r="14" spans="2:15" ht="26.4" x14ac:dyDescent="0.25">
      <c r="B14" s="9">
        <v>1</v>
      </c>
      <c r="C14" s="6">
        <v>8</v>
      </c>
      <c r="D14" s="7" t="str">
        <f>I2&amp; " süreci "&amp; " ile ilgili uygunsuzlar için etkili düzeltici faaliyetler gerçekleştiriliyor mu? DOKÜMANTE BİLGİ (10.2.2)"</f>
        <v>M03 ÜRETİM PLANLAMA YÖNETİMİ süreci  ile ilgili uygunsuzlar için etkili düzeltici faaliyetler gerçekleştiriliyor mu? DOKÜMANTE BİLGİ (10.2.2)</v>
      </c>
      <c r="E14" s="7"/>
      <c r="F14" s="24"/>
      <c r="G14" s="12" t="s">
        <v>19</v>
      </c>
      <c r="H14" s="23" t="str">
        <f t="shared" si="1"/>
        <v>Lojistik Yöneticisi</v>
      </c>
      <c r="I14" s="68" t="s">
        <v>69</v>
      </c>
      <c r="J14" s="69"/>
      <c r="K14" s="46" t="s">
        <v>72</v>
      </c>
      <c r="L14" s="8"/>
      <c r="M14" s="8"/>
      <c r="N14" s="8"/>
      <c r="O14" s="8"/>
    </row>
    <row r="15" spans="2:15" ht="39.6" x14ac:dyDescent="0.25">
      <c r="B15" s="9">
        <v>1</v>
      </c>
      <c r="C15" s="6">
        <v>9</v>
      </c>
      <c r="D15" s="7" t="str">
        <f>I2&amp; " süreci, "&amp;  "analiz ve değerlendirmenin sonuçlarını, yönetimin gözden geçirmesi çıktılarını iyileştirme faaliyetlerini belirlemek için kullanmakta mıdır?"</f>
        <v>M03 ÜRETİM PLANLAMA YÖNETİMİ süreci, analiz ve değerlendirmenin sonuçlarını, yönetimin gözden geçirmesi çıktılarını iyileştirme faaliyetlerini belirlemek için kullanmakta mıdır?</v>
      </c>
      <c r="E15" s="7"/>
      <c r="F15" s="24"/>
      <c r="G15" s="12" t="s">
        <v>20</v>
      </c>
      <c r="H15" s="23" t="str">
        <f t="shared" si="1"/>
        <v>Lojistik Yöneticisi</v>
      </c>
      <c r="I15" s="68" t="s">
        <v>68</v>
      </c>
      <c r="J15" s="69"/>
      <c r="K15" s="46" t="s">
        <v>72</v>
      </c>
      <c r="L15" s="8"/>
      <c r="M15" s="8"/>
      <c r="N15" s="8"/>
      <c r="O15" s="8"/>
    </row>
    <row r="16" spans="2:15" ht="26.4" x14ac:dyDescent="0.25">
      <c r="B16" s="9">
        <v>2</v>
      </c>
      <c r="C16" s="6">
        <v>10</v>
      </c>
      <c r="D16" s="7" t="str">
        <f>I2&amp; " sürecinin; "&amp;  "altyapısı için ihtiyaçları belirlenmiş, sağlanmış mıdır, prosese ait altyapının bakımları gerçekleştirilmekte midir?"</f>
        <v>M03 ÜRETİM PLANLAMA YÖNETİMİ sürecinin; altyapısı için ihtiyaçları belirlenmiş, sağlanmış mıdır, prosese ait altyapının bakımları gerçekleştirilmekte midir?</v>
      </c>
      <c r="E16" s="7"/>
      <c r="F16" s="24"/>
      <c r="G16" s="12" t="s">
        <v>22</v>
      </c>
      <c r="H16" s="23" t="str">
        <f t="shared" si="1"/>
        <v>Lojistik Yöneticisi</v>
      </c>
      <c r="I16" s="68"/>
      <c r="J16" s="69"/>
      <c r="K16" s="46" t="s">
        <v>72</v>
      </c>
      <c r="L16" s="8"/>
      <c r="M16" s="8"/>
      <c r="N16" s="8"/>
      <c r="O16" s="8"/>
    </row>
    <row r="17" spans="2:15" ht="26.4" x14ac:dyDescent="0.25">
      <c r="B17" s="9">
        <v>2</v>
      </c>
      <c r="C17" s="6">
        <v>11</v>
      </c>
      <c r="D17" s="7" t="str">
        <f>I2&amp; " sürecinin; "&amp; "çalışmalarını etkin şekilde yürütmesi için çevre şartları sağlanmış mıdır?"</f>
        <v>M03 ÜRETİM PLANLAMA YÖNETİMİ sürecinin; çalışmalarını etkin şekilde yürütmesi için çevre şartları sağlanmış mıdır?</v>
      </c>
      <c r="E17" s="7"/>
      <c r="F17" s="24"/>
      <c r="G17" s="12" t="s">
        <v>23</v>
      </c>
      <c r="H17" s="23" t="str">
        <f t="shared" si="1"/>
        <v>Lojistik Yöneticisi</v>
      </c>
      <c r="I17" s="68" t="s">
        <v>94</v>
      </c>
      <c r="J17" s="69"/>
      <c r="K17" s="46" t="s">
        <v>72</v>
      </c>
      <c r="L17" s="8"/>
      <c r="M17" s="8"/>
      <c r="N17" s="8"/>
      <c r="O17" s="8"/>
    </row>
    <row r="18" spans="2:15" ht="26.4" x14ac:dyDescent="0.25">
      <c r="B18" s="9">
        <v>2</v>
      </c>
      <c r="C18" s="6">
        <v>12</v>
      </c>
      <c r="D18" s="7" t="str">
        <f>I2&amp; " sürecinin "&amp; "amaca uygun izleme ve ölçme ekipmanlarını kullanıyor, bunları tanımlıyor, izlenebilirliğini sağlıyor mu"</f>
        <v>M03 ÜRETİM PLANLAMA YÖNETİMİ sürecinin amaca uygun izleme ve ölçme ekipmanlarını kullanıyor, bunları tanımlıyor, izlenebilirliğini sağlıyor mu</v>
      </c>
      <c r="E18" s="7"/>
      <c r="F18" s="24"/>
      <c r="G18" s="12" t="s">
        <v>24</v>
      </c>
      <c r="H18" s="23" t="str">
        <f t="shared" si="1"/>
        <v>Lojistik Yöneticisi</v>
      </c>
      <c r="I18" s="68"/>
      <c r="J18" s="69"/>
      <c r="K18" s="46" t="s">
        <v>72</v>
      </c>
      <c r="L18" s="8"/>
      <c r="M18" s="8"/>
      <c r="N18" s="8"/>
      <c r="O18" s="8"/>
    </row>
    <row r="19" spans="2:15" ht="52.8" x14ac:dyDescent="0.25">
      <c r="B19" s="9">
        <v>2</v>
      </c>
      <c r="C19" s="6">
        <v>13</v>
      </c>
      <c r="D19" s="7" t="str">
        <f>I2&amp; " sürecinin "&amp; "ölçme ekipmanlarının uluslararası izlenebilir doğrulama ve kalibrasyon faaliyetlerini gerçekleştiriyor, doğrulama ve kalibrasyon sonuçları ile ilgili gerekli tedbirleri alıyor mu? DOKÜMANTE BİLGİ (7.1.5.1)"</f>
        <v>M03 ÜRETİM PLANLAMA YÖNETİMİ sürecinin ölçme ekipmanlarının uluslararası izlenebilir doğrulama ve kalibrasyon faaliyetlerini gerçekleştiriyor, doğrulama ve kalibrasyon sonuçları ile ilgili gerekli tedbirleri alıyor mu? DOKÜMANTE BİLGİ (7.1.5.1)</v>
      </c>
      <c r="E19" s="7"/>
      <c r="F19" s="24"/>
      <c r="G19" s="12" t="s">
        <v>24</v>
      </c>
      <c r="H19" s="23" t="str">
        <f t="shared" si="1"/>
        <v>Lojistik Yöneticisi</v>
      </c>
      <c r="I19" s="68"/>
      <c r="J19" s="69"/>
      <c r="K19" s="46" t="s">
        <v>72</v>
      </c>
      <c r="L19" s="8"/>
      <c r="M19" s="8"/>
      <c r="N19" s="8"/>
      <c r="O19" s="8"/>
    </row>
    <row r="20" spans="2:15" ht="26.4" x14ac:dyDescent="0.25">
      <c r="B20" s="9">
        <v>3</v>
      </c>
      <c r="C20" s="6">
        <v>14</v>
      </c>
      <c r="D20" s="22" t="str">
        <f>I2&amp; " sürecinin "&amp; "organizasyonu kalite politikasını ulaşıyormu ve özünü ifade edebiliyor mu? DOKÜMANTE BİLGİ (5.2.2.a)"</f>
        <v>M03 ÜRETİM PLANLAMA YÖNETİMİ sürecinin organizasyonu kalite politikasını ulaşıyormu ve özünü ifade edebiliyor mu? DOKÜMANTE BİLGİ (5.2.2.a)</v>
      </c>
      <c r="E20" s="22"/>
      <c r="F20" s="24"/>
      <c r="G20" s="12" t="s">
        <v>25</v>
      </c>
      <c r="H20" s="23" t="str">
        <f t="shared" si="1"/>
        <v>Lojistik Yöneticisi</v>
      </c>
      <c r="I20" s="68" t="s">
        <v>85</v>
      </c>
      <c r="J20" s="69"/>
      <c r="K20" s="46" t="s">
        <v>72</v>
      </c>
      <c r="L20" s="8"/>
      <c r="M20" s="8"/>
      <c r="N20" s="8"/>
      <c r="O20" s="8"/>
    </row>
    <row r="21" spans="2:15" ht="39.6" x14ac:dyDescent="0.25">
      <c r="B21" s="9">
        <v>3</v>
      </c>
      <c r="C21" s="6">
        <v>15</v>
      </c>
      <c r="D21" s="22" t="str">
        <f>I2&amp; " sürecinin "&amp; "organizasyonuna ait roller, bu rollere ait görevler yazılı olarak belirlenmiş mi, rol sahipleri bu yazılı görev tanımlarına ulaşıyor ve gereklerini yapıyorlar mı?"</f>
        <v>M03 ÜRETİM PLANLAMA YÖNETİMİ sürecinin organizasyonuna ait roller, bu rollere ait görevler yazılı olarak belirlenmiş mi, rol sahipleri bu yazılı görev tanımlarına ulaşıyor ve gereklerini yapıyorlar mı?</v>
      </c>
      <c r="E21" s="22"/>
      <c r="F21" s="24"/>
      <c r="G21" s="12" t="s">
        <v>26</v>
      </c>
      <c r="H21" s="23" t="str">
        <f t="shared" si="1"/>
        <v>Lojistik Yöneticisi</v>
      </c>
      <c r="I21" s="68" t="s">
        <v>86</v>
      </c>
      <c r="J21" s="69"/>
      <c r="K21" s="46" t="s">
        <v>72</v>
      </c>
      <c r="L21" s="8"/>
      <c r="M21" s="8"/>
      <c r="N21" s="8"/>
      <c r="O21" s="8"/>
    </row>
    <row r="22" spans="2:15" ht="26.4" x14ac:dyDescent="0.25">
      <c r="B22" s="9">
        <v>3</v>
      </c>
      <c r="C22" s="6">
        <v>16</v>
      </c>
      <c r="D22" s="22" t="str">
        <f>I2&amp; " sürecinin "&amp; "organizasyonu için yeterlilik tanımlarına uygun personel tayin ve tedarik edilmiş midir?"</f>
        <v>M03 ÜRETİM PLANLAMA YÖNETİMİ sürecinin organizasyonu için yeterlilik tanımlarına uygun personel tayin ve tedarik edilmiş midir?</v>
      </c>
      <c r="E22" s="22"/>
      <c r="F22" s="24"/>
      <c r="G22" s="12" t="s">
        <v>27</v>
      </c>
      <c r="H22" s="23" t="str">
        <f t="shared" si="1"/>
        <v>Lojistik Yöneticisi</v>
      </c>
      <c r="I22" s="68" t="s">
        <v>87</v>
      </c>
      <c r="J22" s="69"/>
      <c r="K22" s="46" t="s">
        <v>72</v>
      </c>
      <c r="L22" s="8"/>
      <c r="M22" s="8"/>
      <c r="N22" s="8"/>
      <c r="O22" s="8"/>
    </row>
    <row r="23" spans="2:15" ht="39.6" x14ac:dyDescent="0.25">
      <c r="B23" s="9">
        <v>3</v>
      </c>
      <c r="C23" s="6">
        <v>17</v>
      </c>
      <c r="D23" s="22" t="str">
        <f>I2&amp; " sürecinin "&amp; "organizasyonunda yer alan roller için yeterlilikler belirlenmiş ve bu yeterliliklerin sağlanması için eğitim vb. faaliyetler gerçekleştiriliyor ve etkinliği değerlendiriliyor mu? DOKÜMANTE BİLGİ (7.2.d)"</f>
        <v>M03 ÜRETİM PLANLAMA YÖNETİMİ sürecinin organizasyonunda yer alan roller için yeterlilikler belirlenmiş ve bu yeterliliklerin sağlanması için eğitim vb. faaliyetler gerçekleştiriliyor ve etkinliği değerlendiriliyor mu? DOKÜMANTE BİLGİ (7.2.d)</v>
      </c>
      <c r="E23" s="22"/>
      <c r="F23" s="24"/>
      <c r="G23" s="12" t="s">
        <v>28</v>
      </c>
      <c r="H23" s="23" t="str">
        <f t="shared" si="1"/>
        <v>Lojistik Yöneticisi</v>
      </c>
      <c r="I23" s="80" t="s">
        <v>90</v>
      </c>
      <c r="J23" s="81"/>
      <c r="K23" s="46" t="s">
        <v>72</v>
      </c>
      <c r="L23" s="8"/>
      <c r="M23" s="8"/>
      <c r="N23" s="8"/>
      <c r="O23" s="8"/>
    </row>
    <row r="24" spans="2:15" ht="39.6" x14ac:dyDescent="0.25">
      <c r="B24" s="9">
        <v>3</v>
      </c>
      <c r="C24" s="6">
        <v>18</v>
      </c>
      <c r="D24" s="22" t="str">
        <f>I2&amp; " sürecinin "&amp; "organizasyonunda görev alan personelin, amaçlara ulaşmak veya amaçlardan sapma konularında farkındalıkları yeterli midir?"</f>
        <v>M03 ÜRETİM PLANLAMA YÖNETİMİ sürecinin organizasyonunda görev alan personelin, amaçlara ulaşmak veya amaçlardan sapma konularında farkındalıkları yeterli midir?</v>
      </c>
      <c r="E24" s="22"/>
      <c r="F24" s="24"/>
      <c r="G24" s="12" t="s">
        <v>29</v>
      </c>
      <c r="H24" s="23" t="str">
        <f t="shared" si="1"/>
        <v>Lojistik Yöneticisi</v>
      </c>
      <c r="I24" s="68"/>
      <c r="J24" s="69"/>
      <c r="K24" s="46" t="s">
        <v>72</v>
      </c>
      <c r="L24" s="8"/>
      <c r="M24" s="8"/>
      <c r="N24" s="8"/>
      <c r="O24" s="8"/>
    </row>
    <row r="25" spans="2:15" ht="45" customHeight="1" x14ac:dyDescent="0.25">
      <c r="B25" s="19">
        <v>4</v>
      </c>
      <c r="C25" s="6">
        <v>19</v>
      </c>
      <c r="D25" s="30" t="s">
        <v>45</v>
      </c>
      <c r="E25" s="29"/>
      <c r="F25" s="24"/>
      <c r="G25" s="12" t="s">
        <v>43</v>
      </c>
      <c r="H25" s="27" t="s">
        <v>44</v>
      </c>
      <c r="I25" s="68" t="s">
        <v>70</v>
      </c>
      <c r="J25" s="69"/>
      <c r="K25" s="46" t="s">
        <v>72</v>
      </c>
      <c r="L25" s="8"/>
      <c r="M25" s="37"/>
      <c r="N25" s="8"/>
      <c r="O25" s="8"/>
    </row>
    <row r="26" spans="2:15" ht="78" customHeight="1" x14ac:dyDescent="0.25">
      <c r="B26" s="19">
        <v>4</v>
      </c>
      <c r="C26" s="6">
        <v>20</v>
      </c>
      <c r="D26" s="30" t="s">
        <v>48</v>
      </c>
      <c r="E26" s="29"/>
      <c r="F26" s="24"/>
      <c r="G26" s="12" t="s">
        <v>43</v>
      </c>
      <c r="H26" s="27" t="s">
        <v>44</v>
      </c>
      <c r="I26" s="68" t="s">
        <v>95</v>
      </c>
      <c r="J26" s="69"/>
      <c r="K26" s="46" t="s">
        <v>72</v>
      </c>
      <c r="L26" s="8"/>
      <c r="M26" s="8"/>
      <c r="N26" s="8"/>
      <c r="O26" s="8"/>
    </row>
    <row r="27" spans="2:15" ht="39.6" x14ac:dyDescent="0.25">
      <c r="B27" s="19">
        <v>4</v>
      </c>
      <c r="C27" s="6">
        <v>21</v>
      </c>
      <c r="D27" s="30" t="s">
        <v>47</v>
      </c>
      <c r="E27" s="29"/>
      <c r="F27" s="24"/>
      <c r="G27" s="12" t="s">
        <v>43</v>
      </c>
      <c r="H27" s="27" t="s">
        <v>46</v>
      </c>
      <c r="I27" s="68" t="s">
        <v>98</v>
      </c>
      <c r="J27" s="69"/>
      <c r="K27" s="46"/>
      <c r="L27" s="8"/>
      <c r="M27" s="8"/>
      <c r="N27" s="46" t="s">
        <v>72</v>
      </c>
      <c r="O27" s="8"/>
    </row>
    <row r="28" spans="2:15" ht="26.4" x14ac:dyDescent="0.25">
      <c r="B28" s="19">
        <v>4</v>
      </c>
      <c r="C28" s="6">
        <v>22</v>
      </c>
      <c r="D28" s="31" t="s">
        <v>49</v>
      </c>
      <c r="E28" s="29"/>
      <c r="F28" s="24"/>
      <c r="G28" s="12" t="s">
        <v>43</v>
      </c>
      <c r="H28" s="33" t="s">
        <v>50</v>
      </c>
      <c r="I28" s="68" t="s">
        <v>70</v>
      </c>
      <c r="J28" s="69"/>
      <c r="K28" s="46" t="s">
        <v>72</v>
      </c>
      <c r="L28" s="8"/>
      <c r="M28" s="8"/>
      <c r="N28" s="8"/>
      <c r="O28" s="8"/>
    </row>
    <row r="29" spans="2:15" ht="39.6" x14ac:dyDescent="0.25">
      <c r="B29" s="19">
        <v>4</v>
      </c>
      <c r="C29" s="6">
        <v>23</v>
      </c>
      <c r="D29" s="31" t="s">
        <v>51</v>
      </c>
      <c r="E29" s="29"/>
      <c r="F29" s="24"/>
      <c r="G29" s="12" t="s">
        <v>43</v>
      </c>
      <c r="H29" s="33" t="s">
        <v>50</v>
      </c>
      <c r="I29" s="68" t="s">
        <v>88</v>
      </c>
      <c r="J29" s="69"/>
      <c r="K29" s="46" t="s">
        <v>72</v>
      </c>
      <c r="L29" s="8"/>
      <c r="M29" s="8"/>
      <c r="N29" s="37"/>
      <c r="O29" s="8"/>
    </row>
    <row r="30" spans="2:15" ht="26.4" x14ac:dyDescent="0.25">
      <c r="B30" s="19">
        <v>4</v>
      </c>
      <c r="C30" s="6">
        <v>24</v>
      </c>
      <c r="D30" s="31" t="s">
        <v>52</v>
      </c>
      <c r="E30" s="29"/>
      <c r="F30" s="24"/>
      <c r="G30" s="32" t="s">
        <v>53</v>
      </c>
      <c r="H30" s="26" t="s">
        <v>54</v>
      </c>
      <c r="I30" s="68" t="s">
        <v>96</v>
      </c>
      <c r="J30" s="69"/>
      <c r="K30" s="46" t="s">
        <v>72</v>
      </c>
      <c r="L30" s="8"/>
      <c r="M30" s="8"/>
      <c r="N30" s="8"/>
      <c r="O30" s="8"/>
    </row>
    <row r="31" spans="2:15" ht="51" x14ac:dyDescent="0.25">
      <c r="B31" s="19">
        <v>4</v>
      </c>
      <c r="C31" s="6">
        <v>25</v>
      </c>
      <c r="D31" s="20" t="s">
        <v>55</v>
      </c>
      <c r="E31" s="29"/>
      <c r="F31" s="29"/>
      <c r="G31" s="34" t="s">
        <v>56</v>
      </c>
      <c r="H31" s="35" t="s">
        <v>57</v>
      </c>
      <c r="I31" s="68" t="s">
        <v>84</v>
      </c>
      <c r="J31" s="69"/>
      <c r="K31" s="46" t="s">
        <v>72</v>
      </c>
      <c r="L31" s="8"/>
      <c r="M31" s="8"/>
      <c r="N31" s="8"/>
      <c r="O31" s="8"/>
    </row>
    <row r="32" spans="2:15" ht="30.6" x14ac:dyDescent="0.25">
      <c r="B32" s="19">
        <v>4</v>
      </c>
      <c r="C32" s="6">
        <v>26</v>
      </c>
      <c r="D32" s="20" t="s">
        <v>58</v>
      </c>
      <c r="E32" s="29"/>
      <c r="F32" s="24"/>
      <c r="G32" s="21" t="s">
        <v>60</v>
      </c>
      <c r="H32" s="26" t="s">
        <v>59</v>
      </c>
      <c r="I32" s="68" t="s">
        <v>71</v>
      </c>
      <c r="J32" s="69"/>
      <c r="K32" s="46" t="s">
        <v>72</v>
      </c>
      <c r="L32" s="8"/>
      <c r="M32" s="8"/>
      <c r="N32" s="8"/>
      <c r="O32" s="8"/>
    </row>
    <row r="33" spans="2:15" ht="39.6" x14ac:dyDescent="0.25">
      <c r="B33" s="19">
        <v>4</v>
      </c>
      <c r="C33" s="6">
        <v>27</v>
      </c>
      <c r="D33" s="31" t="s">
        <v>62</v>
      </c>
      <c r="E33" s="29"/>
      <c r="F33" s="24"/>
      <c r="G33" s="21" t="s">
        <v>60</v>
      </c>
      <c r="H33" s="26" t="s">
        <v>61</v>
      </c>
      <c r="I33" s="79" t="s">
        <v>89</v>
      </c>
      <c r="J33" s="69"/>
      <c r="K33" s="46" t="s">
        <v>72</v>
      </c>
      <c r="L33" s="8"/>
      <c r="M33" s="37"/>
      <c r="N33" s="8"/>
      <c r="O33" s="45"/>
    </row>
    <row r="34" spans="2:15" ht="42" customHeight="1" x14ac:dyDescent="0.25">
      <c r="B34" s="9">
        <v>5</v>
      </c>
      <c r="C34" s="6">
        <v>28</v>
      </c>
      <c r="D34" s="7" t="str">
        <f>I2&amp; " sürecinin "&amp; "sürecinin tüm işlemleri için oluşturulmuş ve kontrol edilen prosedü(ler) mevcut mudur?"</f>
        <v>M03 ÜRETİM PLANLAMA YÖNETİMİ sürecinin sürecinin tüm işlemleri için oluşturulmuş ve kontrol edilen prosedü(ler) mevcut mudur?</v>
      </c>
      <c r="E34" s="7"/>
      <c r="F34" s="24"/>
      <c r="G34" s="12" t="s">
        <v>30</v>
      </c>
      <c r="H34" s="23" t="str">
        <f t="shared" ref="H34:H37" si="2">$I$4</f>
        <v>Lojistik Yöneticisi</v>
      </c>
      <c r="I34" s="68" t="s">
        <v>83</v>
      </c>
      <c r="J34" s="69"/>
      <c r="K34" s="46" t="s">
        <v>72</v>
      </c>
      <c r="L34" s="8"/>
      <c r="M34" s="8"/>
      <c r="N34" s="37"/>
      <c r="O34" s="8"/>
    </row>
    <row r="35" spans="2:15" ht="26.4" x14ac:dyDescent="0.25">
      <c r="B35" s="9">
        <v>6</v>
      </c>
      <c r="C35" s="6">
        <v>29</v>
      </c>
      <c r="D35" s="7" t="str">
        <f>I2&amp; " sürecinin "&amp; "performansı ve etkinliği değerlendirilmekte midir? DOKÜMANTE BİLGİ (9.1.1)"</f>
        <v>M03 ÜRETİM PLANLAMA YÖNETİMİ sürecinin performansı ve etkinliği değerlendirilmekte midir? DOKÜMANTE BİLGİ (9.1.1)</v>
      </c>
      <c r="E35" s="7"/>
      <c r="F35" s="24"/>
      <c r="G35" s="12" t="s">
        <v>31</v>
      </c>
      <c r="H35" s="23" t="str">
        <f t="shared" si="2"/>
        <v>Lojistik Yöneticisi</v>
      </c>
      <c r="I35" s="68" t="s">
        <v>97</v>
      </c>
      <c r="J35" s="69"/>
      <c r="K35" s="46" t="s">
        <v>72</v>
      </c>
      <c r="L35" s="8"/>
      <c r="M35" s="8"/>
      <c r="N35" s="8"/>
      <c r="O35" s="8"/>
    </row>
    <row r="36" spans="2:15" ht="26.4" x14ac:dyDescent="0.25">
      <c r="B36" s="9">
        <v>6</v>
      </c>
      <c r="C36" s="6">
        <v>30</v>
      </c>
      <c r="D36" s="7" t="str">
        <f>I2&amp; " sürecinin "&amp; "sürecinin müşterlerinin memnuniyeti ölçülüyor mu?"</f>
        <v>M03 ÜRETİM PLANLAMA YÖNETİMİ sürecinin sürecinin müşterlerinin memnuniyeti ölçülüyor mu?</v>
      </c>
      <c r="E36" s="7"/>
      <c r="F36" s="24"/>
      <c r="G36" s="12" t="s">
        <v>32</v>
      </c>
      <c r="H36" s="23" t="str">
        <f t="shared" si="2"/>
        <v>Lojistik Yöneticisi</v>
      </c>
      <c r="I36" s="79" t="s">
        <v>82</v>
      </c>
      <c r="J36" s="69"/>
      <c r="K36" s="46" t="s">
        <v>72</v>
      </c>
      <c r="L36" s="8"/>
      <c r="M36" s="8"/>
      <c r="N36" s="8"/>
      <c r="O36" s="8"/>
    </row>
    <row r="37" spans="2:15" ht="26.4" x14ac:dyDescent="0.25">
      <c r="B37" s="9">
        <v>6</v>
      </c>
      <c r="C37" s="6">
        <v>31</v>
      </c>
      <c r="D37" s="7" t="str">
        <f>I2&amp; " sürecinin "&amp; "izlenmesi ve ölçülmesine ait sonuçlar, istatitiksel yöntemler ile analiz ediliyor ve değerlendiriliyor mu?"</f>
        <v>M03 ÜRETİM PLANLAMA YÖNETİMİ sürecinin izlenmesi ve ölçülmesine ait sonuçlar, istatitiksel yöntemler ile analiz ediliyor ve değerlendiriliyor mu?</v>
      </c>
      <c r="E37" s="7"/>
      <c r="F37" s="24"/>
      <c r="G37" s="12" t="s">
        <v>33</v>
      </c>
      <c r="H37" s="23" t="str">
        <f t="shared" si="2"/>
        <v>Lojistik Yöneticisi</v>
      </c>
      <c r="I37" s="68"/>
      <c r="J37" s="69"/>
      <c r="K37" s="46" t="s">
        <v>72</v>
      </c>
      <c r="L37" s="8"/>
      <c r="M37" s="8"/>
      <c r="N37" s="8"/>
      <c r="O37" s="8"/>
    </row>
    <row r="38" spans="2:15" x14ac:dyDescent="0.25">
      <c r="C38" s="25" t="s">
        <v>38</v>
      </c>
    </row>
    <row r="40" spans="2:15" ht="15.6" x14ac:dyDescent="0.3">
      <c r="C40" s="48" t="s">
        <v>74</v>
      </c>
      <c r="D40" s="49"/>
      <c r="E40" s="49"/>
      <c r="F40" s="50"/>
      <c r="G40" s="49"/>
      <c r="H40" s="49"/>
      <c r="I40" s="49"/>
      <c r="J40" s="49"/>
      <c r="K40" s="49"/>
      <c r="L40" s="25"/>
      <c r="M40" s="25"/>
      <c r="N40" s="25"/>
    </row>
    <row r="41" spans="2:15" ht="14.4" x14ac:dyDescent="0.3">
      <c r="C41" s="51" t="s">
        <v>75</v>
      </c>
      <c r="D41" s="49"/>
      <c r="E41" s="49"/>
      <c r="F41" s="50"/>
      <c r="G41" s="49"/>
      <c r="H41" s="49"/>
      <c r="I41" s="49"/>
      <c r="J41" s="49"/>
      <c r="K41" s="49"/>
      <c r="L41" s="25"/>
      <c r="M41" s="25"/>
      <c r="N41" s="25"/>
    </row>
    <row r="42" spans="2:15" ht="14.4" x14ac:dyDescent="0.3">
      <c r="C42" s="88" t="s">
        <v>76</v>
      </c>
      <c r="D42" s="89"/>
      <c r="E42" s="102"/>
      <c r="F42" s="50"/>
      <c r="G42" s="49"/>
      <c r="H42" s="49"/>
      <c r="I42" s="49"/>
      <c r="J42" s="49"/>
      <c r="K42" s="49"/>
      <c r="L42" s="25"/>
      <c r="M42" s="25"/>
      <c r="N42" s="25"/>
    </row>
    <row r="43" spans="2:15" ht="14.4" x14ac:dyDescent="0.3">
      <c r="C43" s="52"/>
      <c r="D43" s="53"/>
      <c r="E43" s="54"/>
      <c r="F43" s="50"/>
      <c r="G43" s="49"/>
      <c r="H43" s="49"/>
      <c r="I43" s="49"/>
      <c r="J43" s="49"/>
      <c r="K43" s="49"/>
      <c r="L43" s="25"/>
      <c r="M43" s="25"/>
      <c r="N43" s="25"/>
    </row>
    <row r="44" spans="2:15" ht="14.4" x14ac:dyDescent="0.3">
      <c r="C44" s="55"/>
      <c r="D44" s="49"/>
      <c r="E44" s="49"/>
      <c r="F44" s="50"/>
      <c r="G44" s="49"/>
      <c r="H44" s="49"/>
      <c r="I44" s="49"/>
      <c r="J44" s="49"/>
      <c r="K44" s="49"/>
      <c r="L44" s="25"/>
      <c r="M44" s="25"/>
      <c r="N44" s="25"/>
    </row>
    <row r="45" spans="2:15" ht="14.4" x14ac:dyDescent="0.3">
      <c r="C45" s="51" t="s">
        <v>77</v>
      </c>
      <c r="D45" s="49"/>
      <c r="E45" s="49"/>
      <c r="F45" s="50"/>
      <c r="G45" s="49"/>
      <c r="H45" s="49"/>
      <c r="I45" s="49"/>
      <c r="J45" s="49"/>
      <c r="K45" s="49"/>
      <c r="L45" s="25"/>
      <c r="M45" s="25"/>
      <c r="N45" s="25"/>
    </row>
    <row r="46" spans="2:15" ht="14.4" x14ac:dyDescent="0.3">
      <c r="C46" s="82" t="s">
        <v>91</v>
      </c>
      <c r="D46" s="83"/>
      <c r="E46" s="84"/>
      <c r="F46" s="50"/>
      <c r="G46" s="49"/>
      <c r="H46" s="49"/>
      <c r="I46" s="49"/>
      <c r="J46" s="49"/>
      <c r="K46" s="49"/>
      <c r="L46" s="25"/>
      <c r="M46" s="25"/>
      <c r="N46" s="25"/>
    </row>
    <row r="47" spans="2:15" ht="14.4" x14ac:dyDescent="0.3">
      <c r="C47" s="85"/>
      <c r="D47" s="86"/>
      <c r="E47" s="87"/>
      <c r="F47" s="50"/>
      <c r="G47" s="49"/>
      <c r="H47" s="49"/>
      <c r="I47" s="49"/>
      <c r="J47" s="49"/>
      <c r="K47" s="49"/>
      <c r="L47" s="25"/>
      <c r="M47" s="25"/>
      <c r="N47" s="25"/>
    </row>
    <row r="48" spans="2:15" ht="14.4" x14ac:dyDescent="0.3">
      <c r="C48" s="55"/>
      <c r="D48" s="49"/>
      <c r="E48" s="49"/>
      <c r="F48" s="50"/>
      <c r="G48" s="49"/>
      <c r="H48" s="49"/>
      <c r="I48" s="49"/>
      <c r="J48" s="49"/>
      <c r="K48" s="49"/>
      <c r="L48" s="25"/>
      <c r="M48" s="25"/>
      <c r="N48" s="25"/>
    </row>
    <row r="49" spans="3:14" ht="14.4" x14ac:dyDescent="0.3">
      <c r="C49" s="51" t="s">
        <v>78</v>
      </c>
      <c r="D49" s="49"/>
      <c r="E49" s="49"/>
      <c r="F49" s="50"/>
      <c r="G49" s="49"/>
      <c r="H49" s="49"/>
      <c r="I49" s="49"/>
      <c r="J49" s="49"/>
      <c r="K49" s="49"/>
      <c r="L49" s="25"/>
      <c r="M49" s="25"/>
      <c r="N49" s="25"/>
    </row>
    <row r="50" spans="3:14" ht="14.4" x14ac:dyDescent="0.3">
      <c r="C50" s="88" t="s">
        <v>99</v>
      </c>
      <c r="D50" s="89"/>
      <c r="E50" s="56"/>
      <c r="F50" s="50"/>
      <c r="G50" s="49"/>
      <c r="H50" s="49"/>
      <c r="I50" s="49"/>
      <c r="J50" s="49"/>
      <c r="K50" s="49"/>
      <c r="L50" s="25"/>
      <c r="M50" s="25"/>
      <c r="N50" s="25"/>
    </row>
    <row r="51" spans="3:14" ht="14.4" x14ac:dyDescent="0.3">
      <c r="C51" s="57"/>
      <c r="D51" s="53"/>
      <c r="E51" s="54"/>
      <c r="F51" s="50"/>
      <c r="G51" s="49"/>
      <c r="H51" s="49"/>
      <c r="I51" s="49"/>
      <c r="J51" s="49"/>
      <c r="K51" s="49"/>
      <c r="L51" s="25"/>
      <c r="M51" s="25"/>
      <c r="N51" s="25"/>
    </row>
    <row r="52" spans="3:14" ht="15.6" x14ac:dyDescent="0.3">
      <c r="C52" s="48" t="s">
        <v>79</v>
      </c>
      <c r="D52" s="49"/>
      <c r="E52" s="49"/>
      <c r="F52" s="50"/>
      <c r="G52" s="49"/>
      <c r="H52" s="49"/>
      <c r="I52" s="49"/>
      <c r="J52" s="49"/>
      <c r="K52" s="49"/>
      <c r="L52" s="25"/>
      <c r="M52" s="25"/>
      <c r="N52" s="25"/>
    </row>
    <row r="53" spans="3:14" ht="14.4" x14ac:dyDescent="0.3">
      <c r="C53" s="90">
        <v>100</v>
      </c>
      <c r="D53" s="90"/>
      <c r="E53" s="90"/>
      <c r="F53" s="50"/>
      <c r="G53" s="49"/>
      <c r="H53" s="49"/>
      <c r="I53" s="49"/>
      <c r="J53" s="49"/>
      <c r="K53" s="49"/>
      <c r="L53" s="25"/>
      <c r="M53" s="25"/>
      <c r="N53" s="25"/>
    </row>
    <row r="54" spans="3:14" ht="14.4" x14ac:dyDescent="0.3">
      <c r="C54" s="58"/>
      <c r="D54" s="49"/>
      <c r="E54" s="49"/>
      <c r="F54" s="50"/>
      <c r="G54" s="59"/>
      <c r="H54" s="49"/>
      <c r="I54" s="49"/>
      <c r="J54" s="49"/>
      <c r="K54" s="49"/>
      <c r="L54" s="25"/>
      <c r="M54" s="25"/>
      <c r="N54" s="25"/>
    </row>
    <row r="55" spans="3:14" ht="14.4" x14ac:dyDescent="0.3">
      <c r="C55" s="58"/>
      <c r="D55" s="49"/>
      <c r="E55" s="49"/>
      <c r="F55" s="50"/>
      <c r="G55" s="60" t="s">
        <v>80</v>
      </c>
      <c r="H55" s="61"/>
      <c r="I55" s="62" t="s">
        <v>81</v>
      </c>
      <c r="J55" s="63"/>
      <c r="K55" s="63"/>
      <c r="L55" s="25"/>
      <c r="M55" s="25"/>
      <c r="N55" s="25"/>
    </row>
    <row r="56" spans="3:14" ht="14.4" x14ac:dyDescent="0.3">
      <c r="C56" s="58"/>
      <c r="D56" s="49"/>
      <c r="E56" s="49"/>
      <c r="F56" s="50"/>
      <c r="G56" s="62" t="s">
        <v>101</v>
      </c>
      <c r="H56" s="63"/>
      <c r="I56" s="63"/>
      <c r="J56" s="63"/>
      <c r="K56" s="63"/>
      <c r="L56" s="25"/>
      <c r="M56" s="25"/>
      <c r="N56" s="25"/>
    </row>
    <row r="57" spans="3:14" x14ac:dyDescent="0.25">
      <c r="C57" s="25"/>
      <c r="D57" s="64"/>
      <c r="E57" s="25"/>
      <c r="F57" s="25"/>
      <c r="G57" s="65"/>
      <c r="H57" s="65"/>
      <c r="K57" s="25"/>
      <c r="L57" s="25"/>
      <c r="M57" s="25"/>
      <c r="N57" s="25"/>
    </row>
  </sheetData>
  <mergeCells count="46">
    <mergeCell ref="C42:E42"/>
    <mergeCell ref="G5:G6"/>
    <mergeCell ref="C46:E47"/>
    <mergeCell ref="C50:D50"/>
    <mergeCell ref="C53:E53"/>
    <mergeCell ref="B5:B6"/>
    <mergeCell ref="I5:J6"/>
    <mergeCell ref="I7:J7"/>
    <mergeCell ref="I8:J8"/>
    <mergeCell ref="I28:J28"/>
    <mergeCell ref="H5:H6"/>
    <mergeCell ref="C5:C6"/>
    <mergeCell ref="E5:E6"/>
    <mergeCell ref="I27:J27"/>
    <mergeCell ref="I9:J9"/>
    <mergeCell ref="I37:J37"/>
    <mergeCell ref="I34:J34"/>
    <mergeCell ref="I35:J35"/>
    <mergeCell ref="C4:D4"/>
    <mergeCell ref="G2:H2"/>
    <mergeCell ref="F5:F6"/>
    <mergeCell ref="I36:J36"/>
    <mergeCell ref="D5:D6"/>
    <mergeCell ref="I33:J33"/>
    <mergeCell ref="I18:J18"/>
    <mergeCell ref="I20:J20"/>
    <mergeCell ref="I21:J21"/>
    <mergeCell ref="I30:J30"/>
    <mergeCell ref="I31:J31"/>
    <mergeCell ref="I32:J32"/>
    <mergeCell ref="I22:J22"/>
    <mergeCell ref="I23:J23"/>
    <mergeCell ref="I24:J24"/>
    <mergeCell ref="I19:J19"/>
    <mergeCell ref="K4:O4"/>
    <mergeCell ref="I26:J26"/>
    <mergeCell ref="I25:J25"/>
    <mergeCell ref="I29:J29"/>
    <mergeCell ref="K5:N5"/>
    <mergeCell ref="I17:J17"/>
    <mergeCell ref="I11:J11"/>
    <mergeCell ref="I12:J12"/>
    <mergeCell ref="I13:J13"/>
    <mergeCell ref="I14:J14"/>
    <mergeCell ref="I15:J15"/>
    <mergeCell ref="I16:J16"/>
  </mergeCells>
  <conditionalFormatting sqref="F7:F37">
    <cfRule type="expression" dxfId="0" priority="2">
      <formula>F7="N/A"</formula>
    </cfRule>
  </conditionalFormatting>
  <dataValidations count="1">
    <dataValidation type="list" allowBlank="1" showInputMessage="1" showErrorMessage="1" sqref="F7:F37" xr:uid="{00000000-0002-0000-0000-000000000000}">
      <formula1>"N/A"</formula1>
    </dataValidation>
  </dataValidations>
  <printOptions horizontalCentered="1"/>
  <pageMargins left="0.15748031496062992" right="0.15748031496062992" top="0.31496062992125984" bottom="0.35433070866141736" header="0.23622047244094491" footer="0.15748031496062992"/>
  <pageSetup paperSize="9" scale="82" fitToHeight="0" orientation="landscape" r:id="rId1"/>
  <headerFooter>
    <oddFooter>&amp;R&amp;"Arial,Normal"Y03 F18(1)_07.04.2025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SORU LİSTESİ</vt:lpstr>
      <vt:lpstr>'SORU LİSTESİ'!Yazdırma_Alanı</vt:lpstr>
      <vt:lpstr>'SORU LİSTESİ'!Yazdırma_Başlıkları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2025-04-25T15:03:10Z</dcterms:modified>
</cp:coreProperties>
</file>