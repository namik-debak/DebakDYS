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defaultThemeVersion="124226"/>
  <xr:revisionPtr revIDLastSave="0" documentId="13_ncr:1_{32867189-556B-4A6E-B933-9F9CD813550B}" xr6:coauthVersionLast="47" xr6:coauthVersionMax="47" xr10:uidLastSave="{00000000-0000-0000-0000-000000000000}"/>
  <bookViews>
    <workbookView xWindow="-108" yWindow="-108" windowWidth="23256" windowHeight="12456" tabRatio="541" xr2:uid="{00000000-000D-0000-FFFF-FFFF00000000}"/>
  </bookViews>
  <sheets>
    <sheet name="SORU LİSTESİ" sheetId="2" r:id="rId1"/>
  </sheets>
  <definedNames>
    <definedName name="_xlnm.Print_Area" localSheetId="0">'SORU LİSTESİ'!$C$2:$O$34</definedName>
    <definedName name="_xlnm.Print_Titles" localSheetId="0">'SORU LİSTESİ'!$2:$6</definedName>
  </definedNames>
  <calcPr calcId="191029"/>
</workbook>
</file>

<file path=xl/calcChain.xml><?xml version="1.0" encoding="utf-8"?>
<calcChain xmlns="http://schemas.openxmlformats.org/spreadsheetml/2006/main">
  <c r="D33" i="2" l="1"/>
  <c r="D32" i="2"/>
  <c r="D31" i="2"/>
  <c r="H33" i="2"/>
  <c r="H32" i="2"/>
  <c r="H31" i="2"/>
  <c r="H30" i="2"/>
  <c r="H24" i="2"/>
  <c r="D30" i="2"/>
  <c r="D24" i="2"/>
  <c r="D23" i="2"/>
  <c r="D22" i="2"/>
  <c r="D21" i="2"/>
  <c r="D20" i="2"/>
  <c r="H19" i="2"/>
  <c r="D19" i="2"/>
  <c r="D18" i="2"/>
  <c r="D17" i="2"/>
  <c r="D16" i="2"/>
  <c r="H23" i="2"/>
  <c r="H22" i="2"/>
  <c r="H21" i="2"/>
  <c r="H20" i="2"/>
  <c r="H18" i="2"/>
  <c r="H17" i="2"/>
  <c r="H15" i="2"/>
  <c r="H16" i="2"/>
  <c r="D15" i="2"/>
  <c r="H13" i="2"/>
  <c r="H14" i="2"/>
  <c r="D13" i="2"/>
  <c r="D14" i="2"/>
  <c r="H12" i="2"/>
  <c r="D12" i="2"/>
  <c r="H11" i="2"/>
  <c r="H10" i="2"/>
  <c r="D11" i="2"/>
  <c r="D10" i="2"/>
  <c r="H9" i="2"/>
  <c r="D9" i="2"/>
  <c r="H8" i="2"/>
  <c r="H7" i="2"/>
  <c r="D8" i="2"/>
  <c r="D7" i="2"/>
</calcChain>
</file>

<file path=xl/sharedStrings.xml><?xml version="1.0" encoding="utf-8"?>
<sst xmlns="http://schemas.openxmlformats.org/spreadsheetml/2006/main" count="130" uniqueCount="98">
  <si>
    <t>DENETİM  RAPORU</t>
  </si>
  <si>
    <t>GÖZLEM / DELİL</t>
  </si>
  <si>
    <t>BULGU</t>
  </si>
  <si>
    <t>Evet</t>
  </si>
  <si>
    <t>Majör</t>
  </si>
  <si>
    <t>Minör</t>
  </si>
  <si>
    <t>İyil.</t>
  </si>
  <si>
    <t>Şart No</t>
  </si>
  <si>
    <t>NO</t>
  </si>
  <si>
    <t>DF</t>
  </si>
  <si>
    <t>No</t>
  </si>
  <si>
    <t>TİP</t>
  </si>
  <si>
    <t>Denetçi(ler):</t>
  </si>
  <si>
    <t>4.4</t>
  </si>
  <si>
    <t>6.2</t>
  </si>
  <si>
    <t>6.1</t>
  </si>
  <si>
    <t>6.3</t>
  </si>
  <si>
    <t>9.2</t>
  </si>
  <si>
    <t>9.3</t>
  </si>
  <si>
    <t>10.2</t>
  </si>
  <si>
    <t>10.3</t>
  </si>
  <si>
    <t>7.4</t>
  </si>
  <si>
    <t>7.1.3</t>
  </si>
  <si>
    <t>7.1.4</t>
  </si>
  <si>
    <t>7.1.5</t>
  </si>
  <si>
    <t>5.2</t>
  </si>
  <si>
    <t>5.3</t>
  </si>
  <si>
    <t>7.1.2</t>
  </si>
  <si>
    <t>7.2</t>
  </si>
  <si>
    <t>7.3</t>
  </si>
  <si>
    <t>7.5</t>
  </si>
  <si>
    <t>9.1.1</t>
  </si>
  <si>
    <t>9.1.2</t>
  </si>
  <si>
    <t>9.1.3</t>
  </si>
  <si>
    <t xml:space="preserve">Kime </t>
  </si>
  <si>
    <t>Süreç Lideri:</t>
  </si>
  <si>
    <t xml:space="preserve">Süreç Adı: </t>
  </si>
  <si>
    <t>N/A</t>
  </si>
  <si>
    <t>N/A : Uygulanamaz (Non Applicable)</t>
  </si>
  <si>
    <t>SORU</t>
  </si>
  <si>
    <t>İşlemNo</t>
  </si>
  <si>
    <t>Üretim Tasarım Yöneticisi</t>
  </si>
  <si>
    <t>8.5.1.3</t>
  </si>
  <si>
    <t>8.5.1</t>
  </si>
  <si>
    <t xml:space="preserve">Üretim  Sorumlusu / Vardiya Amiri
</t>
  </si>
  <si>
    <t>İmalat prosesi ile ilgili methodlar tanımlanmış mı, hangi yollarla sorumlu kişiler ile paylaşılmaktadır.</t>
  </si>
  <si>
    <t>Planlama Sorumlusu</t>
  </si>
  <si>
    <t>İmalat yönetimlerinde iş standartları belirlenmiş mi, imalat başlangıçlarında ayar parametreleri kayıt altına alınmakta mı, kayıtlara erişim sağlanabiliyor mu?</t>
  </si>
  <si>
    <t>İmalat yönetiminde seri imalat başlangıç onayı verme methodları belirlenmiş mi, roller tanımlanmış mıdır, onay kayıtlarına ulaşılabiliyor mu?</t>
  </si>
  <si>
    <t xml:space="preserve">Kalite Kontrol Sor./Laboratuvar Sor.
</t>
  </si>
  <si>
    <t xml:space="preserve">Üretim sor.
Üretim Ope.
Vardiya amiri
Lab Sor.
</t>
  </si>
  <si>
    <t xml:space="preserve">imalat yönetiminde 1. ve 2 . Seviye ürün kontrol yönetemleri/ sıklıkları/ rolleri tanımlanmış mıdır, iş talimatlarına erişilebiliyor mu, ürün gerçekleştirme şartlarına geriye dönük izlenebilirlik sağlanabiliyor mu? </t>
  </si>
  <si>
    <t>Duruş sonrası ürün serbet bırakma şartları tanımlı, uygunlanmakta mıdır, kayıtlara erişim sağlanabiliyor mu?</t>
  </si>
  <si>
    <t>8.5.1.4</t>
  </si>
  <si>
    <t>Süreç Bazlı YGG toplantıları gerçekleştirilmekte ve analiz ve değerlendirmeler gerçekleştirilmektedir.</t>
  </si>
  <si>
    <t>√</t>
  </si>
  <si>
    <t>DENETİM BULGULARI:</t>
  </si>
  <si>
    <t xml:space="preserve">1) Uygunsuzluklar: </t>
  </si>
  <si>
    <t>Uygunsuzluk tespit edilmemiştir.</t>
  </si>
  <si>
    <t>2) Kuvvetli Yönler:</t>
  </si>
  <si>
    <t>3) İyileştirme Önerileri:</t>
  </si>
  <si>
    <t>DENETİM SONUCU:</t>
  </si>
  <si>
    <t>İsim Soyisim</t>
  </si>
  <si>
    <t>M04 ÜRETİMYÖNETİMİ</t>
  </si>
  <si>
    <t>Denetim Tarihi ve Kodu: 05.05.2025</t>
  </si>
  <si>
    <t>O.Yalçın /O.Dalbudak/A.Uğurlu /N. Göksu</t>
  </si>
  <si>
    <t>Ana Referansı:M04 P01 Üretime Hazırlık Prosedürü-M04 P02 Enjeksiyon Prosedürü-M04 P03 Temperleme Prosedürü-M04 P04 Çapak alma Prosedürü-M04 P05 Tampon Baskı Prosedürü-M04 P06 Ambalajlama &amp; Etiketleme Prosedürü-M04 P07  Lepleme ve Ultrasonik Yıkama Prosedürü</t>
  </si>
  <si>
    <t>Y02.3 F08 ÜRETİM YÖNETİMİ RİSK DEĞERLENDİRME LERİNDE KAPLUMBAĞA DİY AGRAMI VE performasn paramatereleri belirlenmiştir.Örn EEO % 2024 10.ay %86.12 hesaplanmıştır</t>
  </si>
  <si>
    <t>Y02.3 F08 ÜRETİM YÖNETİMİ RİSK DEĞERLENDİRME LERİNDE risk ve fırsatlar belirlenmiştir.Örn.</t>
  </si>
  <si>
    <t>Y01 P03 Değişikliklerin Yönetimi Prosedürü</t>
  </si>
  <si>
    <t>Y01 P01 Döküman Yönetimi Prosedürü nde tüm süreç iletiişimleri belirlenmiştir.</t>
  </si>
  <si>
    <t>03.05.2025 tarihinde Y01 dürecinin denetim raporu görüldü. Minör uygunsuzluk görülmemişitri. 1ad iyileştirme mevcuttur.</t>
  </si>
  <si>
    <t>Günlük QRQC toplantıları,performans parametrelerin aylık olarak ve yıllık olarak YGG de gözden geçirilmektedir. 
Kullanımda tespit edilen Geçersiz Doküman Sayısı 02.05.2025 0 adet olarak görülmüştür.</t>
  </si>
  <si>
    <t>Canias ERP proğramı altyası sağlanmış olup, üretim verileri anlık olarak makine üzerinden otomatik alınabilmektedir. Bağlı olduğu tüm süreçlere çıktı verebilmektedir. Üretim takibi anlık yapılmaktadır. Arıza &amp; bakım &amp; yeniden devreye alma işlemleri uygun olarak yerine getirilmektedir.
10-14323 işemri no kontrol edildi. 05.05.2025 Süleyman duymaz</t>
  </si>
  <si>
    <t>Üretim sahaları ve yazılım için kullanılan donanımlar her makinede mevcut ve çalışır durumda. 10-14323 işemri no kontrol edildi. 05.05.2025 Süleyman duymaz AP4 kontrol edildi.</t>
  </si>
  <si>
    <t>QLTT 07 Düzeltici faaliyetler düzenlenmekte ve tüm  Listede takip edilmektedir.Müşteri Şikayeti - 00000134 nolu 8D raporuQLTT07 incelenmiştir.</t>
  </si>
  <si>
    <t>Tüm ekimpanaların izleme ve ölçmeleri gerçekelştirilmektedir.D04 P01 Ölçüm Sistemlerinin Yönetimi Prosedürü
D8.3 F02 İzl. Ölç. Cih. &amp; Kalib. Listesi_2025 _Ekipman no Vswitch Cover(564327/698637)26.5 son yapılan doğrulama 21.03.2025</t>
  </si>
  <si>
    <t>Kalibrasyon işlemleri için dış hizmet alınmaktadır. 3 ila 6 ayda bir doğrulamalar yapılmaktadır.Ölçüm cihazları 2 ayda bir doğrulanmaktadır.D8.3 F02 İzl. Ölç. Cih. &amp; Kalib. Listesi_2025 _Ekipman no Vswitch Cover(564327/698637)26.5 son yapılan doğrulama 21.03.2025</t>
  </si>
  <si>
    <t>Kalite politikasına şirket i,çerisinde duyuru panosundan ulaşılabiliridir. Web sayfası nda da ilan edilmiştir.D4.2 T01 Kalite Politikası &amp; D4.2 T02 Çevre Politikası&amp; D4.2 T03 İSG Politikası</t>
  </si>
  <si>
    <t xml:space="preserve">Y02.3 F08 ÜRETİM YÖNETİMİ RİSK DEĞERLENDİRME içeirisnde Roller tanımlanmış olup, iş tanımlarına görev ve yetkilerine göre yerine getilmektedir.
D2 T17 Görev Tanımı - Üretim Operatörleri+ 
</t>
  </si>
  <si>
    <t>Yeterlilik tanımlarına uygun personel tayin edilmiştir. Yetkinlikleri takip edilmekte olup, ilerlemeler için eğitim desteklemeleri gerçekleştirilmektedir. D01.1 P01 Eğitim Prosedürü yerine getirilmektedir. İlgili süreçlerde eğitim planına uygun eğitimler yerine getirilmektedir.D2 F 6 02 Çok Görevlilk Tablosu ilgili bölümler ile ilgili yeterlilikler takip edilmektedir.( Süleyman Duymaz)</t>
  </si>
  <si>
    <t>Tüm süreçlerde persoenlin fakındalığı gözlendi. Yaptığı iş ve talimatlar hakkında bilgisi vardı.SÜLEYMAN DUYMAZ AP04 makinasında ilgili iş hakkında soruları cevapladı</t>
  </si>
  <si>
    <t>toplama iş emri ile çalışacak ürün ile ilgil bilgiler yetkili kişilere yazılı olarak yetkililere iletilmektedir. Ardından tüm süreç Canias yazılımı üzerinden sağlanmaktadır. Üretim check listi AUTT20 de yer alır. Kalıp bağlama , referans parmatreleri vs tümü yetkili kişiler tarafından gerçekleştirilir. Eğitim ve yetkisi yok ise kendini o işemrine atayıp görevi yerine getirmez.</t>
  </si>
  <si>
    <t>Canias yazılımı ile iş emri her makine başında bulunan panellere iletilmektedir. Hangi ürün hangi makine de çalışacak ise. İş emri açılması ile o makine ve ürünle ilgili tüm bilgi ve kayıtlar iletilmektedir. Görev alacak personelin tamamı kedini ilgili bölüme( kalıp bağlama&amp; malzeme dağıtımı &amp; ayar vs.) set ederk makineyi devreye alırılar. Üretim operatörü Kalite Bölümü sayfasında 5S &amp; Makine Günlük bakım &amp; Parametreleri sayfalara kendilerini set ederek kayıt etmekte ve tüm kayıtlar izlenebilmektedir.
K18 10-14303 işemri ile Ramzan gönen görev almaktadır.</t>
  </si>
  <si>
    <t>Canias imalata başladığında DBKT02 nin proses kontrolüne üretim onayı atmaktadır. Yetkili lab. Görevlisi tarafından ölçülerek onay verilir.Enj. Yap. 698637 Switch Cover 4 Kav -05.05.2025 tarihinde 10-14306 işemri i,le suda işemre girilmiştir. Control planında belirtilen ölüler kontrol edildi.26,5+/-0,1 ölçüsü 26.49-.26.45 olarak ölçüldü.</t>
  </si>
  <si>
    <t>İzlenebilirlik barkod sistemi ile sağlanmaktadır. Makine başında iş talimatları mevcuttur.Canias kayıtlarından 1. ve 2. seviye kontroller görüldü..Enj. Yap. 698637 Switch Cover 4 Kav -05.05.2025 tarihinde 10-14306 işemri  Suda, spk kayıtları görüldü.</t>
  </si>
  <si>
    <t>M04 P01 Üretime Hazırlık Prosedürü</t>
  </si>
  <si>
    <t>D4.4 F06 Tüm Süreçler Performans İzleme Tablosu 2025</t>
  </si>
  <si>
    <t>Müşteri memnuniyeti ölçülmektedir. Canias  Salt72 Müşteri Teslimat ve kalite değerlendirmesi gözlendi.
D4.4 F06 Tüm Süreçler Performans İzleme Tablosu 2025</t>
  </si>
  <si>
    <t>OEE</t>
  </si>
  <si>
    <t>D4.4 F06 Tüm Süreçler Performans İzleme Tablosu 2025
OEE-Planlı&amp;Plansız Duruşlar&amp; Enjeksiyon iç hurda hedefleri mevcuttru.</t>
  </si>
  <si>
    <t>AUTT28 dokümanlar bölümünde M04.8 T06 Üretim Operasyon Talimatı tanımlıdır. Ürün kayıtları sistemde mevcuttur.
İlgili operasyon talimatları sisteme eklenmiştir ancak ürün kontrol talimatları için çalışmalar başlatılmış olup güncel versiyonu üretim işemri içerisine atılarak operatörlerin erişebileceği yerde olması sağlanacaktır. Bu şekilde hardcopy olanlar kalkacak ve güncel versiyonların sahada olması sağlanacktır.</t>
  </si>
  <si>
    <t>İlgili operasyon talimatları sisteme eklenmiştir ancak ürün kontrol talimatları için çalışmalar başlatılmış olup güncel versiyonu üretim işemri içerisine atılarak operatörlerin erişebileceği yerde olması sağlanacaktır. Bu şekilde hardcopy olanlar kalkacak ve güncel versiyonların sahada olması sağlanacaktır.</t>
  </si>
  <si>
    <t>Canias üretim takibin etkin olarak yürütülüyor olması.
Sahanın temiz ve düzenli olması</t>
  </si>
  <si>
    <t>İmza ve tarih : 05.05.2025</t>
  </si>
  <si>
    <t>Güllü Ünlü-Fevzi Ünal</t>
  </si>
  <si>
    <t>Stajyer Denetçi(ler):</t>
  </si>
  <si>
    <t>Nilsena Memişoğlu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</si>
</sst>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Arial"/>
      <family val="2"/>
      <charset val="162"/>
    </font>
    <font>
      <sz val="11"/>
      <color theme="1"/>
      <name val="Arial"/>
      <family val="2"/>
      <charset val="162"/>
    </font>
    <font>
      <b/>
      <sz val="11"/>
      <color theme="1"/>
      <name val="Arial"/>
      <family val="2"/>
      <charset val="162"/>
    </font>
    <font>
      <sz val="10"/>
      <name val="Arial"/>
      <family val="2"/>
      <charset val="162"/>
    </font>
    <font>
      <b/>
      <sz val="16"/>
      <name val="Arial"/>
      <family val="2"/>
      <charset val="162"/>
    </font>
    <font>
      <b/>
      <sz val="11"/>
      <name val="Arial"/>
      <family val="2"/>
      <charset val="162"/>
    </font>
    <font>
      <sz val="10"/>
      <color theme="1"/>
      <name val="Arial"/>
      <family val="2"/>
      <charset val="162"/>
    </font>
    <font>
      <sz val="12"/>
      <color theme="1"/>
      <name val="Arial"/>
      <family val="2"/>
      <charset val="162"/>
    </font>
    <font>
      <sz val="8"/>
      <color theme="1"/>
      <name val="Arial"/>
      <family val="2"/>
      <charset val="162"/>
    </font>
    <font>
      <sz val="11"/>
      <name val="Arial"/>
      <family val="2"/>
      <charset val="162"/>
    </font>
    <font>
      <sz val="6"/>
      <color theme="1"/>
      <name val="Arial"/>
      <family val="2"/>
      <charset val="162"/>
    </font>
    <font>
      <b/>
      <sz val="10"/>
      <color theme="1"/>
      <name val="Arial"/>
      <family val="2"/>
      <charset val="162"/>
    </font>
    <font>
      <sz val="9"/>
      <name val="Arial"/>
      <family val="2"/>
      <charset val="162"/>
    </font>
    <font>
      <b/>
      <sz val="8"/>
      <name val="Arial"/>
      <family val="2"/>
      <charset val="162"/>
    </font>
    <font>
      <b/>
      <sz val="8"/>
      <color theme="1"/>
      <name val="Arial"/>
      <family val="2"/>
      <charset val="162"/>
    </font>
    <font>
      <sz val="16"/>
      <color theme="1"/>
      <name val="Arial Tur"/>
      <charset val="162"/>
    </font>
    <font>
      <b/>
      <sz val="12"/>
      <name val="Arial"/>
      <family val="2"/>
      <charset val="162"/>
    </font>
    <font>
      <sz val="8"/>
      <name val="Arial"/>
      <family val="2"/>
      <charset val="162"/>
    </font>
    <font>
      <b/>
      <sz val="10"/>
      <name val="Arial"/>
      <family val="2"/>
      <charset val="162"/>
    </font>
    <font>
      <sz val="9"/>
      <color theme="1"/>
      <name val="Arial"/>
      <family val="2"/>
      <charset val="162"/>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4" fillId="0" borderId="0"/>
  </cellStyleXfs>
  <cellXfs count="110">
    <xf numFmtId="0" fontId="0" fillId="0" borderId="0" xfId="0"/>
    <xf numFmtId="0" fontId="2" fillId="0" borderId="0" xfId="0" applyFont="1"/>
    <xf numFmtId="0" fontId="6" fillId="2" borderId="2" xfId="0" applyFont="1" applyFill="1" applyBorder="1" applyAlignment="1">
      <alignment horizontal="left" vertical="center"/>
    </xf>
    <xf numFmtId="49" fontId="7" fillId="3" borderId="4" xfId="0" applyNumberFormat="1" applyFont="1" applyFill="1" applyBorder="1"/>
    <xf numFmtId="0" fontId="4" fillId="3" borderId="6" xfId="0" applyFont="1" applyFill="1" applyBorder="1" applyAlignment="1">
      <alignment horizontal="center" vertical="center"/>
    </xf>
    <xf numFmtId="49" fontId="7" fillId="3" borderId="5" xfId="0" applyNumberFormat="1" applyFont="1" applyFill="1" applyBorder="1"/>
    <xf numFmtId="0" fontId="2" fillId="0" borderId="6" xfId="0" applyFont="1" applyBorder="1" applyAlignment="1">
      <alignment horizontal="center" vertical="center"/>
    </xf>
    <xf numFmtId="0" fontId="7" fillId="0" borderId="6" xfId="0" applyFont="1" applyBorder="1" applyAlignment="1">
      <alignment vertical="center" wrapText="1"/>
    </xf>
    <xf numFmtId="0" fontId="2" fillId="0" borderId="6" xfId="0" applyFont="1" applyBorder="1"/>
    <xf numFmtId="0" fontId="2" fillId="0" borderId="0" xfId="0" applyFont="1" applyAlignment="1">
      <alignment horizontal="center" vertical="center"/>
    </xf>
    <xf numFmtId="0" fontId="8" fillId="0" borderId="0" xfId="0" applyFont="1" applyAlignment="1">
      <alignment horizontal="center" vertical="center"/>
    </xf>
    <xf numFmtId="49" fontId="2" fillId="0" borderId="0" xfId="0" applyNumberFormat="1" applyFont="1" applyAlignment="1">
      <alignment horizontal="center" vertical="center"/>
    </xf>
    <xf numFmtId="49" fontId="7" fillId="0" borderId="6" xfId="0" applyNumberFormat="1" applyFont="1" applyBorder="1" applyAlignment="1">
      <alignment horizontal="center" vertical="center"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1" xfId="0" applyFont="1" applyFill="1" applyBorder="1"/>
    <xf numFmtId="0" fontId="5" fillId="2" borderId="2" xfId="0" applyFont="1" applyFill="1" applyBorder="1"/>
    <xf numFmtId="0" fontId="5" fillId="2" borderId="3" xfId="0" applyFont="1" applyFill="1" applyBorder="1"/>
    <xf numFmtId="0" fontId="10" fillId="4" borderId="0" xfId="0" applyFont="1" applyFill="1" applyAlignment="1">
      <alignment horizontal="center" vertical="center"/>
    </xf>
    <xf numFmtId="0" fontId="4" fillId="4" borderId="6" xfId="0" applyFont="1" applyFill="1" applyBorder="1" applyAlignment="1">
      <alignment vertical="center" wrapText="1"/>
    </xf>
    <xf numFmtId="0" fontId="7" fillId="4" borderId="6" xfId="0" applyFont="1" applyFill="1" applyBorder="1" applyAlignment="1">
      <alignment vertical="center" wrapText="1"/>
    </xf>
    <xf numFmtId="0" fontId="9" fillId="0" borderId="1" xfId="0" applyFont="1" applyBorder="1" applyAlignment="1">
      <alignment horizontal="left" vertical="center" wrapText="1"/>
    </xf>
    <xf numFmtId="0" fontId="7" fillId="0" borderId="6" xfId="0" applyFont="1" applyBorder="1" applyAlignment="1">
      <alignment horizontal="center" vertical="center" wrapText="1"/>
    </xf>
    <xf numFmtId="0" fontId="1" fillId="0" borderId="0" xfId="0" applyFont="1"/>
    <xf numFmtId="49" fontId="9" fillId="0" borderId="1" xfId="0" applyNumberFormat="1" applyFont="1" applyBorder="1" applyAlignment="1">
      <alignment horizontal="left" vertical="center" wrapText="1"/>
    </xf>
    <xf numFmtId="49" fontId="11" fillId="0" borderId="1" xfId="0" applyNumberFormat="1" applyFont="1" applyBorder="1" applyAlignment="1">
      <alignment horizontal="left" vertical="center" wrapText="1"/>
    </xf>
    <xf numFmtId="49" fontId="6" fillId="2" borderId="2" xfId="0" applyNumberFormat="1" applyFont="1" applyFill="1" applyBorder="1" applyAlignment="1">
      <alignment horizontal="left" vertical="center"/>
    </xf>
    <xf numFmtId="0" fontId="7" fillId="4" borderId="6" xfId="0" applyFont="1" applyFill="1" applyBorder="1" applyAlignment="1">
      <alignment horizontal="center" vertical="center" wrapText="1"/>
    </xf>
    <xf numFmtId="0" fontId="7" fillId="4" borderId="6" xfId="0" quotePrefix="1" applyFont="1" applyFill="1" applyBorder="1" applyAlignment="1">
      <alignment horizontal="left" vertical="center" wrapText="1"/>
    </xf>
    <xf numFmtId="0" fontId="4" fillId="4" borderId="6" xfId="0" quotePrefix="1" applyFont="1" applyFill="1" applyBorder="1" applyAlignment="1">
      <alignment horizontal="left" vertical="center" wrapText="1"/>
    </xf>
    <xf numFmtId="49" fontId="7" fillId="0" borderId="6" xfId="0" quotePrefix="1" applyNumberFormat="1" applyFont="1" applyBorder="1" applyAlignment="1">
      <alignment horizontal="center" vertical="center" wrapText="1"/>
    </xf>
    <xf numFmtId="49" fontId="6" fillId="2" borderId="1" xfId="0" quotePrefix="1" applyNumberFormat="1" applyFont="1" applyFill="1" applyBorder="1" applyAlignment="1">
      <alignment horizontal="left" vertical="center"/>
    </xf>
    <xf numFmtId="0" fontId="9" fillId="0" borderId="0" xfId="0" applyFont="1"/>
    <xf numFmtId="0" fontId="14" fillId="2" borderId="2" xfId="0" quotePrefix="1" applyFont="1" applyFill="1" applyBorder="1" applyAlignment="1">
      <alignment horizontal="left" vertical="center"/>
    </xf>
    <xf numFmtId="0" fontId="14" fillId="2" borderId="2" xfId="0" applyFont="1" applyFill="1" applyBorder="1"/>
    <xf numFmtId="0" fontId="9" fillId="2" borderId="2" xfId="0" applyFont="1" applyFill="1" applyBorder="1"/>
    <xf numFmtId="0" fontId="15" fillId="2" borderId="2" xfId="0" quotePrefix="1" applyFont="1" applyFill="1" applyBorder="1" applyAlignment="1">
      <alignment horizontal="left" vertical="center"/>
    </xf>
    <xf numFmtId="0" fontId="1" fillId="0" borderId="6" xfId="0" applyFont="1" applyBorder="1"/>
    <xf numFmtId="0" fontId="16" fillId="0" borderId="6" xfId="0" applyFont="1" applyBorder="1" applyAlignment="1">
      <alignment horizontal="center" vertical="center"/>
    </xf>
    <xf numFmtId="0" fontId="17" fillId="5" borderId="0" xfId="0" applyFont="1" applyFill="1"/>
    <xf numFmtId="0" fontId="0" fillId="5" borderId="0" xfId="0" applyFill="1"/>
    <xf numFmtId="0" fontId="18" fillId="5" borderId="0" xfId="0" applyFont="1" applyFill="1"/>
    <xf numFmtId="0" fontId="19" fillId="5" borderId="0" xfId="0" applyFont="1" applyFill="1"/>
    <xf numFmtId="0" fontId="4" fillId="3" borderId="10" xfId="0" applyFont="1" applyFill="1" applyBorder="1" applyAlignment="1">
      <alignment horizontal="left"/>
    </xf>
    <xf numFmtId="0" fontId="0" fillId="3" borderId="12" xfId="0" applyFill="1" applyBorder="1"/>
    <xf numFmtId="0" fontId="0" fillId="3" borderId="9" xfId="0" applyFill="1" applyBorder="1"/>
    <xf numFmtId="0" fontId="4" fillId="5" borderId="0" xfId="0" applyFont="1" applyFill="1" applyAlignment="1">
      <alignment horizontal="left"/>
    </xf>
    <xf numFmtId="0" fontId="0" fillId="5" borderId="0" xfId="0" applyFill="1" applyAlignment="1">
      <alignment horizontal="center"/>
    </xf>
    <xf numFmtId="0" fontId="4" fillId="5" borderId="0" xfId="0" applyFont="1" applyFill="1"/>
    <xf numFmtId="49" fontId="1" fillId="3" borderId="0" xfId="0" applyNumberFormat="1" applyFont="1" applyFill="1" applyAlignment="1">
      <alignment horizontal="left" vertical="center"/>
    </xf>
    <xf numFmtId="49" fontId="1" fillId="3" borderId="0" xfId="0" applyNumberFormat="1" applyFont="1" applyFill="1" applyAlignment="1">
      <alignment horizontal="center" vertical="center"/>
    </xf>
    <xf numFmtId="0" fontId="4" fillId="3" borderId="0" xfId="0" applyFont="1" applyFill="1"/>
    <xf numFmtId="0" fontId="0" fillId="3" borderId="0" xfId="0" applyFill="1"/>
    <xf numFmtId="0" fontId="9" fillId="3" borderId="3" xfId="0" applyFont="1" applyFill="1" applyBorder="1" applyAlignment="1">
      <alignment horizontal="center" vertical="center" wrapText="1"/>
    </xf>
    <xf numFmtId="0" fontId="7" fillId="3" borderId="0" xfId="0" applyFont="1" applyFill="1"/>
    <xf numFmtId="0" fontId="4" fillId="2" borderId="2" xfId="0" applyFont="1" applyFill="1" applyBorder="1" applyAlignment="1">
      <alignment horizontal="center"/>
    </xf>
    <xf numFmtId="0" fontId="4" fillId="2" borderId="3" xfId="0" applyFont="1" applyFill="1" applyBorder="1" applyAlignment="1">
      <alignment horizontal="center"/>
    </xf>
    <xf numFmtId="0" fontId="2" fillId="0" borderId="0" xfId="0" applyFont="1" applyAlignment="1">
      <alignment horizontal="center" vertical="center" wrapText="1"/>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9"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49" fontId="3" fillId="3" borderId="4" xfId="0" applyNumberFormat="1" applyFont="1" applyFill="1" applyBorder="1" applyAlignment="1">
      <alignment horizontal="center" vertical="center" wrapText="1"/>
    </xf>
    <xf numFmtId="49" fontId="3" fillId="3" borderId="5"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6" fillId="2" borderId="2" xfId="0" applyFont="1" applyFill="1" applyBorder="1" applyAlignment="1">
      <alignment horizontal="center" vertical="center"/>
    </xf>
    <xf numFmtId="0" fontId="13" fillId="2" borderId="2" xfId="0" quotePrefix="1" applyFont="1" applyFill="1" applyBorder="1" applyAlignment="1">
      <alignment horizontal="left" wrapText="1"/>
    </xf>
    <xf numFmtId="0" fontId="13" fillId="2" borderId="2" xfId="0" applyFont="1" applyFill="1" applyBorder="1" applyAlignment="1">
      <alignment horizontal="center" wrapText="1"/>
    </xf>
    <xf numFmtId="0" fontId="13" fillId="2" borderId="3" xfId="0" applyFont="1" applyFill="1" applyBorder="1" applyAlignment="1">
      <alignment horizont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0" fillId="3" borderId="1" xfId="0" applyFont="1" applyFill="1" applyBorder="1" applyAlignment="1">
      <alignment vertical="center" wrapText="1"/>
    </xf>
    <xf numFmtId="0" fontId="20" fillId="3" borderId="3" xfId="0" applyFont="1" applyFill="1" applyBorder="1" applyAlignment="1">
      <alignment vertical="center" wrapText="1"/>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1" xfId="0" applyFont="1" applyFill="1" applyBorder="1" applyAlignment="1">
      <alignment horizontal="center" vertical="top" wrapText="1"/>
    </xf>
    <xf numFmtId="0" fontId="9" fillId="3" borderId="3" xfId="0" applyFont="1" applyFill="1" applyBorder="1" applyAlignment="1">
      <alignment horizontal="center" vertical="top" wrapText="1"/>
    </xf>
    <xf numFmtId="0" fontId="13" fillId="3" borderId="1" xfId="0" applyFont="1" applyFill="1" applyBorder="1" applyAlignment="1">
      <alignment vertical="center" wrapText="1"/>
    </xf>
    <xf numFmtId="0" fontId="13" fillId="3" borderId="3" xfId="0" applyFont="1" applyFill="1" applyBorder="1" applyAlignment="1">
      <alignment vertical="center" wrapText="1"/>
    </xf>
    <xf numFmtId="0" fontId="20" fillId="3" borderId="1" xfId="0" quotePrefix="1" applyFont="1" applyFill="1" applyBorder="1" applyAlignment="1">
      <alignment horizontal="left" vertical="center" wrapText="1"/>
    </xf>
    <xf numFmtId="0" fontId="20" fillId="3" borderId="1" xfId="0" quotePrefix="1" applyFont="1" applyFill="1" applyBorder="1" applyAlignment="1">
      <alignment vertical="center" wrapText="1"/>
    </xf>
    <xf numFmtId="0" fontId="0" fillId="3" borderId="0" xfId="0" applyFill="1" applyAlignment="1">
      <alignment horizontal="left"/>
    </xf>
    <xf numFmtId="0" fontId="7" fillId="3" borderId="1" xfId="0" applyFont="1" applyFill="1" applyBorder="1" applyAlignment="1">
      <alignment vertical="center" wrapText="1"/>
    </xf>
    <xf numFmtId="0" fontId="7" fillId="3" borderId="3" xfId="0" applyFont="1" applyFill="1" applyBorder="1" applyAlignment="1">
      <alignment vertical="center" wrapText="1"/>
    </xf>
    <xf numFmtId="0" fontId="9" fillId="3" borderId="1" xfId="0" quotePrefix="1" applyFont="1" applyFill="1" applyBorder="1" applyAlignment="1">
      <alignment horizontal="center" vertical="center" wrapText="1"/>
    </xf>
    <xf numFmtId="49" fontId="6" fillId="2" borderId="1" xfId="0" quotePrefix="1" applyNumberFormat="1" applyFont="1" applyFill="1" applyBorder="1" applyAlignment="1">
      <alignment horizontal="left" vertical="center" wrapText="1"/>
    </xf>
    <xf numFmtId="49" fontId="6" fillId="2" borderId="2" xfId="0" applyNumberFormat="1" applyFont="1" applyFill="1" applyBorder="1" applyAlignment="1">
      <alignment horizontal="left" vertical="center" wrapText="1"/>
    </xf>
    <xf numFmtId="0" fontId="0" fillId="3" borderId="7" xfId="0" applyFill="1" applyBorder="1" applyAlignment="1">
      <alignment horizontal="left"/>
    </xf>
    <xf numFmtId="0" fontId="0" fillId="3" borderId="11" xfId="0" applyFill="1" applyBorder="1" applyAlignment="1">
      <alignment horizontal="left"/>
    </xf>
    <xf numFmtId="0" fontId="0" fillId="3" borderId="8" xfId="0" applyFill="1" applyBorder="1" applyAlignment="1">
      <alignment horizontal="left"/>
    </xf>
    <xf numFmtId="0" fontId="0" fillId="3" borderId="7" xfId="0" applyFill="1" applyBorder="1" applyAlignment="1">
      <alignment horizontal="left" wrapText="1"/>
    </xf>
    <xf numFmtId="0" fontId="0" fillId="3" borderId="11" xfId="0" applyFill="1" applyBorder="1" applyAlignment="1">
      <alignment horizontal="left" wrapText="1"/>
    </xf>
    <xf numFmtId="0" fontId="0" fillId="3" borderId="8" xfId="0" applyFill="1" applyBorder="1" applyAlignment="1">
      <alignment horizontal="left" wrapText="1"/>
    </xf>
    <xf numFmtId="0" fontId="0" fillId="3" borderId="10" xfId="0" applyFill="1" applyBorder="1" applyAlignment="1">
      <alignment horizontal="left" wrapText="1"/>
    </xf>
    <xf numFmtId="0" fontId="0" fillId="3" borderId="12" xfId="0" applyFill="1" applyBorder="1" applyAlignment="1">
      <alignment horizontal="left" wrapText="1"/>
    </xf>
    <xf numFmtId="0" fontId="0" fillId="3" borderId="9" xfId="0" applyFill="1" applyBorder="1" applyAlignment="1">
      <alignment horizontal="left" wrapText="1"/>
    </xf>
    <xf numFmtId="0" fontId="0" fillId="3" borderId="7" xfId="0" applyFill="1" applyBorder="1" applyAlignment="1">
      <alignment horizontal="left" vertical="top" wrapText="1"/>
    </xf>
    <xf numFmtId="0" fontId="0" fillId="3" borderId="11" xfId="0" applyFill="1" applyBorder="1" applyAlignment="1">
      <alignment horizontal="left" vertical="top" wrapText="1"/>
    </xf>
    <xf numFmtId="0" fontId="0" fillId="3" borderId="8" xfId="0" applyFill="1" applyBorder="1" applyAlignment="1">
      <alignment horizontal="left" vertical="top" wrapText="1"/>
    </xf>
    <xf numFmtId="0" fontId="0" fillId="3" borderId="10" xfId="0" applyFill="1" applyBorder="1" applyAlignment="1">
      <alignment horizontal="left" vertical="top" wrapText="1"/>
    </xf>
    <xf numFmtId="0" fontId="0" fillId="3" borderId="12" xfId="0" applyFill="1" applyBorder="1" applyAlignment="1">
      <alignment horizontal="left" vertical="top" wrapText="1"/>
    </xf>
    <xf numFmtId="0" fontId="0" fillId="3" borderId="9" xfId="0" applyFill="1" applyBorder="1" applyAlignment="1">
      <alignment horizontal="left" vertical="top" wrapText="1"/>
    </xf>
  </cellXfs>
  <cellStyles count="2">
    <cellStyle name="Normal" xfId="0" builtinId="0"/>
    <cellStyle name="Normal 2" xfId="1" xr:uid="{00000000-0005-0000-0000-000001000000}"/>
  </cellStyles>
  <dxfs count="1">
    <dxf>
      <fill>
        <patternFill>
          <bgColor theme="0" tint="-0.34998626667073579"/>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116541</xdr:colOff>
      <xdr:row>7</xdr:row>
      <xdr:rowOff>380643</xdr:rowOff>
    </xdr:from>
    <xdr:to>
      <xdr:col>9</xdr:col>
      <xdr:colOff>2052918</xdr:colOff>
      <xdr:row>7</xdr:row>
      <xdr:rowOff>1121861</xdr:rowOff>
    </xdr:to>
    <xdr:pic>
      <xdr:nvPicPr>
        <xdr:cNvPr id="2" name="Resim 1">
          <a:extLst>
            <a:ext uri="{FF2B5EF4-FFF2-40B4-BE49-F238E27FC236}">
              <a16:creationId xmlns:a16="http://schemas.microsoft.com/office/drawing/2014/main" id="{2CE27A0C-8E47-3680-6B2C-C1E0871B5F1A}"/>
            </a:ext>
          </a:extLst>
        </xdr:cNvPr>
        <xdr:cNvPicPr>
          <a:picLocks noChangeAspect="1"/>
        </xdr:cNvPicPr>
      </xdr:nvPicPr>
      <xdr:blipFill>
        <a:blip xmlns:r="http://schemas.openxmlformats.org/officeDocument/2006/relationships" r:embed="rId1"/>
        <a:stretch>
          <a:fillRect/>
        </a:stretch>
      </xdr:blipFill>
      <xdr:spPr>
        <a:xfrm>
          <a:off x="7781365" y="3007302"/>
          <a:ext cx="2877671" cy="74121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1:O53"/>
  <sheetViews>
    <sheetView showGridLines="0" tabSelected="1" zoomScale="85" zoomScaleNormal="85" workbookViewId="0">
      <pane ySplit="6" topLeftCell="A13" activePane="bottomLeft" state="frozen"/>
      <selection pane="bottomLeft" activeCell="I19" sqref="I19:J19"/>
    </sheetView>
  </sheetViews>
  <sheetFormatPr defaultColWidth="9.109375" defaultRowHeight="13.8" x14ac:dyDescent="0.25"/>
  <cols>
    <col min="1" max="1" width="3.44140625" style="1" customWidth="1"/>
    <col min="2" max="2" width="4" style="9" customWidth="1"/>
    <col min="3" max="3" width="5.109375" style="1" customWidth="1"/>
    <col min="4" max="4" width="71.33203125" style="1" customWidth="1"/>
    <col min="5" max="5" width="6.109375" style="1" customWidth="1"/>
    <col min="6" max="6" width="5.44140625" style="1" customWidth="1"/>
    <col min="7" max="7" width="5.5546875" style="11" customWidth="1"/>
    <col min="8" max="8" width="10.5546875" style="11" customWidth="1"/>
    <col min="9" max="9" width="13.6640625" style="32" customWidth="1"/>
    <col min="10" max="10" width="47.88671875" style="32" customWidth="1"/>
    <col min="11" max="14" width="5.109375" style="1" customWidth="1"/>
    <col min="15" max="15" width="19.77734375" style="1" customWidth="1"/>
    <col min="16" max="16" width="12.109375" style="1" bestFit="1" customWidth="1"/>
    <col min="17" max="16384" width="9.109375" style="1"/>
  </cols>
  <sheetData>
    <row r="1" spans="2:15" ht="6.75" customHeight="1" x14ac:dyDescent="0.25"/>
    <row r="2" spans="2:15" ht="21" x14ac:dyDescent="0.4">
      <c r="C2" s="15" t="s">
        <v>0</v>
      </c>
      <c r="D2" s="15"/>
      <c r="E2" s="16"/>
      <c r="F2" s="16"/>
      <c r="G2" s="72" t="s">
        <v>36</v>
      </c>
      <c r="H2" s="72"/>
      <c r="I2" s="33" t="s">
        <v>63</v>
      </c>
      <c r="J2" s="34"/>
      <c r="K2" s="16"/>
      <c r="L2" s="16"/>
      <c r="M2" s="16"/>
      <c r="N2" s="16"/>
      <c r="O2" s="17"/>
    </row>
    <row r="3" spans="2:15" ht="21" x14ac:dyDescent="0.4">
      <c r="C3" s="31" t="s">
        <v>64</v>
      </c>
      <c r="D3" s="13"/>
      <c r="E3" s="14"/>
      <c r="F3" s="14"/>
      <c r="G3" s="72" t="s">
        <v>12</v>
      </c>
      <c r="H3" s="72"/>
      <c r="I3" s="35" t="s">
        <v>95</v>
      </c>
      <c r="J3" s="35"/>
      <c r="K3" s="2" t="s">
        <v>96</v>
      </c>
      <c r="L3" s="14"/>
      <c r="M3" s="14"/>
      <c r="N3" s="55"/>
      <c r="O3" s="56" t="s">
        <v>97</v>
      </c>
    </row>
    <row r="4" spans="2:15" ht="75.75" customHeight="1" x14ac:dyDescent="0.25">
      <c r="C4" s="93" t="s">
        <v>66</v>
      </c>
      <c r="D4" s="94"/>
      <c r="E4" s="26"/>
      <c r="F4" s="26"/>
      <c r="G4" s="2" t="s">
        <v>35</v>
      </c>
      <c r="H4" s="2"/>
      <c r="I4" s="36" t="s">
        <v>41</v>
      </c>
      <c r="J4" s="35"/>
      <c r="K4" s="73" t="s">
        <v>65</v>
      </c>
      <c r="L4" s="74"/>
      <c r="M4" s="74"/>
      <c r="N4" s="74"/>
      <c r="O4" s="75"/>
    </row>
    <row r="5" spans="2:15" ht="15" customHeight="1" x14ac:dyDescent="0.25">
      <c r="B5" s="57" t="s">
        <v>11</v>
      </c>
      <c r="C5" s="66" t="s">
        <v>8</v>
      </c>
      <c r="D5" s="70" t="s">
        <v>39</v>
      </c>
      <c r="E5" s="68" t="s">
        <v>40</v>
      </c>
      <c r="F5" s="70" t="s">
        <v>37</v>
      </c>
      <c r="G5" s="64" t="s">
        <v>7</v>
      </c>
      <c r="H5" s="64" t="s">
        <v>34</v>
      </c>
      <c r="I5" s="58" t="s">
        <v>1</v>
      </c>
      <c r="J5" s="59"/>
      <c r="K5" s="76" t="s">
        <v>2</v>
      </c>
      <c r="L5" s="77"/>
      <c r="M5" s="77"/>
      <c r="N5" s="78"/>
      <c r="O5" s="3" t="s">
        <v>9</v>
      </c>
    </row>
    <row r="6" spans="2:15" ht="15" customHeight="1" x14ac:dyDescent="0.25">
      <c r="B6" s="57"/>
      <c r="C6" s="67"/>
      <c r="D6" s="71"/>
      <c r="E6" s="69"/>
      <c r="F6" s="71"/>
      <c r="G6" s="65"/>
      <c r="H6" s="65"/>
      <c r="I6" s="60"/>
      <c r="J6" s="61"/>
      <c r="K6" s="4" t="s">
        <v>3</v>
      </c>
      <c r="L6" s="4" t="s">
        <v>4</v>
      </c>
      <c r="M6" s="4" t="s">
        <v>5</v>
      </c>
      <c r="N6" s="4" t="s">
        <v>6</v>
      </c>
      <c r="O6" s="5" t="s">
        <v>10</v>
      </c>
    </row>
    <row r="7" spans="2:15" ht="52.8" x14ac:dyDescent="0.25">
      <c r="B7" s="10">
        <v>1</v>
      </c>
      <c r="C7" s="6">
        <v>1</v>
      </c>
      <c r="D7" s="7" t="str">
        <f>I2&amp; " süreci;"&amp; "girdi prosesleri, girdileri, çıktıları, çıktı prosesleri, işlemleri, işlemlerin yürütülme şekli, organizasyonu, altyapısı, riskleri, olası değişiklikleri, iyileştirme için performans parametreleri tanımlanmış mıdır? DOKÜMANTE BİLGİ (4.4.1)"</f>
        <v>M04 ÜRETİMYÖNETİMİ süreci;girdi prosesleri, girdileri, çıktıları, çıktı prosesleri, işlemleri, işlemlerin yürütülme şekli, organizasyonu, altyapısı, riskleri, olası değişiklikleri, iyileştirme için performans parametreleri tanımlanmış mıdır? DOKÜMANTE BİLGİ (4.4.1)</v>
      </c>
      <c r="E7" s="7"/>
      <c r="F7" s="22"/>
      <c r="G7" s="12" t="s">
        <v>13</v>
      </c>
      <c r="H7" s="21" t="str">
        <f t="shared" ref="H7:H12" si="0">$I$4</f>
        <v>Üretim Tasarım Yöneticisi</v>
      </c>
      <c r="I7" s="81" t="s">
        <v>67</v>
      </c>
      <c r="J7" s="82"/>
      <c r="K7" s="38" t="s">
        <v>55</v>
      </c>
      <c r="L7" s="8"/>
      <c r="M7" s="8"/>
      <c r="N7" s="37"/>
      <c r="O7" s="8"/>
    </row>
    <row r="8" spans="2:15" ht="101.4" customHeight="1" x14ac:dyDescent="0.25">
      <c r="B8" s="9">
        <v>1</v>
      </c>
      <c r="C8" s="6">
        <v>2</v>
      </c>
      <c r="D8" s="7" t="str">
        <f>I2&amp; " süreci;"&amp; " için risk ve fırsatları belirleme faaliyetleri gerçekleştirilmekte midir?"</f>
        <v>M04 ÜRETİMYÖNETİMİ süreci; için risk ve fırsatları belirleme faaliyetleri gerçekleştirilmekte midir?</v>
      </c>
      <c r="E8" s="7"/>
      <c r="F8" s="22"/>
      <c r="G8" s="12" t="s">
        <v>15</v>
      </c>
      <c r="H8" s="21" t="str">
        <f t="shared" si="0"/>
        <v>Üretim Tasarım Yöneticisi</v>
      </c>
      <c r="I8" s="83" t="s">
        <v>68</v>
      </c>
      <c r="J8" s="84"/>
      <c r="K8" s="38" t="s">
        <v>55</v>
      </c>
      <c r="L8" s="8"/>
      <c r="M8" s="8"/>
      <c r="N8" s="8"/>
      <c r="O8" s="8"/>
    </row>
    <row r="9" spans="2:15" ht="26.4" x14ac:dyDescent="0.25">
      <c r="B9" s="9">
        <v>1</v>
      </c>
      <c r="C9" s="6">
        <v>3</v>
      </c>
      <c r="D9" s="7" t="str">
        <f>I2&amp; " süreci;"&amp; " için amaçlar ve bu amaçlara ulaşmak için aksiyonlar belirlenmiş midir? DOKÜMANTE BİLGİ (6.2.1)"</f>
        <v>M04 ÜRETİMYÖNETİMİ süreci; için amaçlar ve bu amaçlara ulaşmak için aksiyonlar belirlenmiş midir? DOKÜMANTE BİLGİ (6.2.1)</v>
      </c>
      <c r="E9" s="7"/>
      <c r="F9" s="22"/>
      <c r="G9" s="12" t="s">
        <v>14</v>
      </c>
      <c r="H9" s="21" t="str">
        <f t="shared" si="0"/>
        <v>Üretim Tasarım Yöneticisi</v>
      </c>
      <c r="I9" s="62"/>
      <c r="J9" s="63"/>
      <c r="K9" s="38" t="s">
        <v>55</v>
      </c>
      <c r="L9" s="8"/>
      <c r="M9" s="8"/>
      <c r="N9" s="8"/>
      <c r="O9" s="8"/>
    </row>
    <row r="10" spans="2:15" ht="20.399999999999999" x14ac:dyDescent="0.25">
      <c r="B10" s="9">
        <v>1</v>
      </c>
      <c r="C10" s="6">
        <v>4</v>
      </c>
      <c r="D10" s="7" t="str">
        <f>I2&amp; " süreci;"&amp; " için sistematik olarak değişiklikler belirleniyor mu?"</f>
        <v>M04 ÜRETİMYÖNETİMİ süreci; için sistematik olarak değişiklikler belirleniyor mu?</v>
      </c>
      <c r="E10" s="7"/>
      <c r="F10" s="22"/>
      <c r="G10" s="12" t="s">
        <v>16</v>
      </c>
      <c r="H10" s="21" t="str">
        <f t="shared" si="0"/>
        <v>Üretim Tasarım Yöneticisi</v>
      </c>
      <c r="I10" s="54" t="s">
        <v>69</v>
      </c>
      <c r="J10" s="53"/>
      <c r="K10" s="38" t="s">
        <v>55</v>
      </c>
      <c r="L10" s="8"/>
      <c r="M10" s="8"/>
      <c r="N10" s="8"/>
      <c r="O10" s="8"/>
    </row>
    <row r="11" spans="2:15" ht="26.4" customHeight="1" x14ac:dyDescent="0.25">
      <c r="B11" s="9">
        <v>1</v>
      </c>
      <c r="C11" s="6">
        <v>5</v>
      </c>
      <c r="D11" s="7" t="str">
        <f>I2&amp; " süreci;"&amp; " etkili bir iletişim planı var mıdır, bu plana göre etkili iletişimler gerçekleştirilmekte midir"</f>
        <v>M04 ÜRETİMYÖNETİMİ süreci; etkili bir iletişim planı var mıdır, bu plana göre etkili iletişimler gerçekleştirilmekte midir</v>
      </c>
      <c r="E11" s="7"/>
      <c r="F11" s="22"/>
      <c r="G11" s="12" t="s">
        <v>21</v>
      </c>
      <c r="H11" s="21" t="str">
        <f t="shared" si="0"/>
        <v>Üretim Tasarım Yöneticisi</v>
      </c>
      <c r="I11" s="85" t="s">
        <v>70</v>
      </c>
      <c r="J11" s="86"/>
      <c r="K11" s="38" t="s">
        <v>55</v>
      </c>
      <c r="L11" s="8"/>
      <c r="M11" s="8"/>
      <c r="N11" s="8"/>
      <c r="O11" s="8"/>
    </row>
    <row r="12" spans="2:15" ht="39.6" customHeight="1" x14ac:dyDescent="0.25">
      <c r="B12" s="9">
        <v>1</v>
      </c>
      <c r="C12" s="6">
        <v>6</v>
      </c>
      <c r="D12" s="7" t="str">
        <f>I2&amp; " süreci;"&amp; " iç tetkikleri, iç tetkik posedürüne uygun olarak olarak gerçekleştiriliyor mu, tetkik sonuçları iyileştirme faaliyetleri için girdi olarak kullanılıyor mu? DOKÜMANTE BİLGİ (9.2.2.f)"</f>
        <v>M04 ÜRETİMYÖNETİMİ süreci; iç tetkikleri, iç tetkik posedürüne uygun olarak olarak gerçekleştiriliyor mu, tetkik sonuçları iyileştirme faaliyetleri için girdi olarak kullanılıyor mu? DOKÜMANTE BİLGİ (9.2.2.f)</v>
      </c>
      <c r="E12" s="7"/>
      <c r="F12" s="22"/>
      <c r="G12" s="12" t="s">
        <v>17</v>
      </c>
      <c r="H12" s="21" t="str">
        <f t="shared" si="0"/>
        <v>Üretim Tasarım Yöneticisi</v>
      </c>
      <c r="I12" s="88" t="s">
        <v>71</v>
      </c>
      <c r="J12" s="80"/>
      <c r="K12" s="38" t="s">
        <v>55</v>
      </c>
      <c r="L12" s="8"/>
      <c r="M12" s="8"/>
      <c r="N12" s="8"/>
      <c r="O12" s="8"/>
    </row>
    <row r="13" spans="2:15" ht="46.8" customHeight="1" x14ac:dyDescent="0.25">
      <c r="B13" s="9">
        <v>1</v>
      </c>
      <c r="C13" s="6">
        <v>7</v>
      </c>
      <c r="D13" s="7" t="str">
        <f>I2&amp; " süreci "&amp;  "belirlenen aralıklarda gözden geçiriliyor mu? DOKÜMANTE BİLGİ (9.3.3)"</f>
        <v>M04 ÜRETİMYÖNETİMİ süreci belirlenen aralıklarda gözden geçiriliyor mu? DOKÜMANTE BİLGİ (9.3.3)</v>
      </c>
      <c r="E13" s="7"/>
      <c r="F13" s="22"/>
      <c r="G13" s="12" t="s">
        <v>18</v>
      </c>
      <c r="H13" s="21" t="str">
        <f t="shared" ref="H13:H24" si="1">$I$4</f>
        <v>Üretim Tasarım Yöneticisi</v>
      </c>
      <c r="I13" s="87" t="s">
        <v>72</v>
      </c>
      <c r="J13" s="80"/>
      <c r="K13" s="38" t="s">
        <v>55</v>
      </c>
      <c r="L13" s="8"/>
      <c r="M13" s="8"/>
      <c r="N13" s="8"/>
      <c r="O13" s="8"/>
    </row>
    <row r="14" spans="2:15" ht="45" customHeight="1" x14ac:dyDescent="0.25">
      <c r="B14" s="9">
        <v>1</v>
      </c>
      <c r="C14" s="6">
        <v>8</v>
      </c>
      <c r="D14" s="7" t="str">
        <f>I2&amp; " süreci "&amp; " ile ilgili uygunsuzlar için etkili düzeltici faaliyetler gerçekleştiriliyor mu? DOKÜMANTE BİLGİ (10.2.2)"</f>
        <v>M04 ÜRETİMYÖNETİMİ süreci  ile ilgili uygunsuzlar için etkili düzeltici faaliyetler gerçekleştiriliyor mu? DOKÜMANTE BİLGİ (10.2.2)</v>
      </c>
      <c r="E14" s="7"/>
      <c r="F14" s="22"/>
      <c r="G14" s="12" t="s">
        <v>19</v>
      </c>
      <c r="H14" s="21" t="str">
        <f t="shared" si="1"/>
        <v>Üretim Tasarım Yöneticisi</v>
      </c>
      <c r="I14" s="79" t="s">
        <v>75</v>
      </c>
      <c r="J14" s="80"/>
      <c r="K14" s="38" t="s">
        <v>55</v>
      </c>
      <c r="L14" s="8"/>
      <c r="M14" s="8"/>
      <c r="N14" s="8"/>
      <c r="O14" s="8"/>
    </row>
    <row r="15" spans="2:15" ht="39.6" customHeight="1" x14ac:dyDescent="0.25">
      <c r="B15" s="9">
        <v>1</v>
      </c>
      <c r="C15" s="6">
        <v>9</v>
      </c>
      <c r="D15" s="7" t="str">
        <f>I2&amp; " süreci, "&amp;  "analiz ve değerlendirmenin sonuçlarını, yönetimin gözden geçirmesi çıktılarını iyileştirme faaliyetlerini belirlemek için kullanmakta mıdır?"</f>
        <v>M04 ÜRETİMYÖNETİMİ süreci, analiz ve değerlendirmenin sonuçlarını, yönetimin gözden geçirmesi çıktılarını iyileştirme faaliyetlerini belirlemek için kullanmakta mıdır?</v>
      </c>
      <c r="E15" s="7"/>
      <c r="F15" s="22"/>
      <c r="G15" s="12" t="s">
        <v>20</v>
      </c>
      <c r="H15" s="21" t="str">
        <f t="shared" si="1"/>
        <v>Üretim Tasarım Yöneticisi</v>
      </c>
      <c r="I15" s="81" t="s">
        <v>54</v>
      </c>
      <c r="J15" s="82"/>
      <c r="K15" s="38" t="s">
        <v>55</v>
      </c>
      <c r="L15" s="8"/>
      <c r="M15" s="8"/>
      <c r="N15" s="8"/>
      <c r="O15" s="8"/>
    </row>
    <row r="16" spans="2:15" ht="66.599999999999994" customHeight="1" x14ac:dyDescent="0.25">
      <c r="B16" s="9">
        <v>2</v>
      </c>
      <c r="C16" s="6">
        <v>10</v>
      </c>
      <c r="D16" s="7" t="str">
        <f>I2&amp; " sürecinin; "&amp;  "altyapısı için ihtiyaçları belirlenmiş, sağlanmış mıdır, prosese ait altyapının bakımları gerçekleştirilmekte midir?"</f>
        <v>M04 ÜRETİMYÖNETİMİ sürecinin; altyapısı için ihtiyaçları belirlenmiş, sağlanmış mıdır, prosese ait altyapının bakımları gerçekleştirilmekte midir?</v>
      </c>
      <c r="E16" s="7"/>
      <c r="F16" s="22"/>
      <c r="G16" s="12" t="s">
        <v>22</v>
      </c>
      <c r="H16" s="21" t="str">
        <f t="shared" si="1"/>
        <v>Üretim Tasarım Yöneticisi</v>
      </c>
      <c r="I16" s="81" t="s">
        <v>73</v>
      </c>
      <c r="J16" s="82"/>
      <c r="K16" s="38" t="s">
        <v>55</v>
      </c>
      <c r="L16" s="8"/>
      <c r="M16" s="8"/>
      <c r="N16" s="8"/>
      <c r="O16" s="8"/>
    </row>
    <row r="17" spans="2:15" ht="40.200000000000003" customHeight="1" x14ac:dyDescent="0.25">
      <c r="B17" s="9">
        <v>2</v>
      </c>
      <c r="C17" s="6">
        <v>11</v>
      </c>
      <c r="D17" s="7" t="str">
        <f>I2&amp; " sürecinin; "&amp; "çalışmalarını etkin şekilde yürütmesi için çevre şartları sağlanmış mıdır?"</f>
        <v>M04 ÜRETİMYÖNETİMİ sürecinin; çalışmalarını etkin şekilde yürütmesi için çevre şartları sağlanmış mıdır?</v>
      </c>
      <c r="E17" s="7"/>
      <c r="F17" s="22"/>
      <c r="G17" s="12" t="s">
        <v>23</v>
      </c>
      <c r="H17" s="21" t="str">
        <f t="shared" si="1"/>
        <v>Üretim Tasarım Yöneticisi</v>
      </c>
      <c r="I17" s="81" t="s">
        <v>74</v>
      </c>
      <c r="J17" s="82"/>
      <c r="K17" s="38" t="s">
        <v>55</v>
      </c>
      <c r="L17" s="8"/>
      <c r="M17" s="8"/>
      <c r="N17" s="8"/>
      <c r="O17" s="8"/>
    </row>
    <row r="18" spans="2:15" ht="54.6" customHeight="1" x14ac:dyDescent="0.25">
      <c r="B18" s="9">
        <v>2</v>
      </c>
      <c r="C18" s="6">
        <v>12</v>
      </c>
      <c r="D18" s="7" t="str">
        <f>I2&amp; " sürecinin "&amp; "amaca uygun izleme ve ölçme ekipmanlarını kullanıyor, bunları tanımlıyor, izlenebilirliğini sağlıyor mu"</f>
        <v>M04 ÜRETİMYÖNETİMİ sürecinin amaca uygun izleme ve ölçme ekipmanlarını kullanıyor, bunları tanımlıyor, izlenebilirliğini sağlıyor mu</v>
      </c>
      <c r="E18" s="7"/>
      <c r="F18" s="22"/>
      <c r="G18" s="12" t="s">
        <v>24</v>
      </c>
      <c r="H18" s="21" t="str">
        <f t="shared" si="1"/>
        <v>Üretim Tasarım Yöneticisi</v>
      </c>
      <c r="I18" s="81" t="s">
        <v>76</v>
      </c>
      <c r="J18" s="82"/>
      <c r="K18" s="38" t="s">
        <v>55</v>
      </c>
      <c r="L18" s="8"/>
      <c r="M18" s="8"/>
      <c r="N18" s="8"/>
      <c r="O18" s="8"/>
    </row>
    <row r="19" spans="2:15" ht="53.4" customHeight="1" x14ac:dyDescent="0.25">
      <c r="B19" s="9">
        <v>2</v>
      </c>
      <c r="C19" s="6">
        <v>13</v>
      </c>
      <c r="D19" s="7" t="str">
        <f>I2&amp; " sürecinin "&amp; "ölçme ekipmanlarının uluslararası izlenebilir doğrulama ve kalibrasyon faaliyetlerini gerçekleştiriyor, doğrulama ve kalibrasyon sonuçları ile ilgili gerekli tedbirleri alıyor mu? DOKÜMANTE BİLGİ (7.1.5.1)"</f>
        <v>M04 ÜRETİMYÖNETİMİ sürecinin ölçme ekipmanlarının uluslararası izlenebilir doğrulama ve kalibrasyon faaliyetlerini gerçekleştiriyor, doğrulama ve kalibrasyon sonuçları ile ilgili gerekli tedbirleri alıyor mu? DOKÜMANTE BİLGİ (7.1.5.1)</v>
      </c>
      <c r="E19" s="7"/>
      <c r="F19" s="22"/>
      <c r="G19" s="12" t="s">
        <v>24</v>
      </c>
      <c r="H19" s="21" t="str">
        <f t="shared" si="1"/>
        <v>Üretim Tasarım Yöneticisi</v>
      </c>
      <c r="I19" s="92" t="s">
        <v>77</v>
      </c>
      <c r="J19" s="82"/>
      <c r="K19" s="38" t="s">
        <v>55</v>
      </c>
      <c r="L19" s="8"/>
      <c r="M19" s="8"/>
      <c r="N19" s="8"/>
      <c r="O19" s="8"/>
    </row>
    <row r="20" spans="2:15" ht="60" customHeight="1" x14ac:dyDescent="0.25">
      <c r="B20" s="9">
        <v>3</v>
      </c>
      <c r="C20" s="6">
        <v>14</v>
      </c>
      <c r="D20" s="20" t="str">
        <f>I2&amp; " sürecinin "&amp; "organizasyonu kalite politikasını ulaşıyormu ve özünü ifade edebiliyor mu? DOKÜMANTE BİLGİ (5.2.2.a)"</f>
        <v>M04 ÜRETİMYÖNETİMİ sürecinin organizasyonu kalite politikasını ulaşıyormu ve özünü ifade edebiliyor mu? DOKÜMANTE BİLGİ (5.2.2.a)</v>
      </c>
      <c r="E20" s="20"/>
      <c r="F20" s="22"/>
      <c r="G20" s="12" t="s">
        <v>25</v>
      </c>
      <c r="H20" s="21" t="str">
        <f t="shared" si="1"/>
        <v>Üretim Tasarım Yöneticisi</v>
      </c>
      <c r="I20" s="90" t="s">
        <v>78</v>
      </c>
      <c r="J20" s="91"/>
      <c r="K20" s="38" t="s">
        <v>55</v>
      </c>
      <c r="L20" s="8"/>
      <c r="M20" s="8"/>
      <c r="N20" s="8"/>
      <c r="O20" s="8"/>
    </row>
    <row r="21" spans="2:15" ht="61.2" customHeight="1" x14ac:dyDescent="0.25">
      <c r="B21" s="9">
        <v>3</v>
      </c>
      <c r="C21" s="6">
        <v>15</v>
      </c>
      <c r="D21" s="20" t="str">
        <f>I2&amp; " sürecinin "&amp; "organizasyonuna ait roller, bu rollere ait görevler yazılı olarak belirlenmiş mi, rol sahipleri bu yazılı görev tanımlarına ulaşıyor ve gereklerini yapıyorlar mı?"</f>
        <v>M04 ÜRETİMYÖNETİMİ sürecinin organizasyonuna ait roller, bu rollere ait görevler yazılı olarak belirlenmiş mi, rol sahipleri bu yazılı görev tanımlarına ulaşıyor ve gereklerini yapıyorlar mı?</v>
      </c>
      <c r="E21" s="20"/>
      <c r="F21" s="22"/>
      <c r="G21" s="12" t="s">
        <v>26</v>
      </c>
      <c r="H21" s="21" t="str">
        <f t="shared" si="1"/>
        <v>Üretim Tasarım Yöneticisi</v>
      </c>
      <c r="I21" s="81" t="s">
        <v>79</v>
      </c>
      <c r="J21" s="82"/>
      <c r="K21" s="38" t="s">
        <v>55</v>
      </c>
      <c r="L21" s="8"/>
      <c r="M21" s="8"/>
      <c r="N21" s="8"/>
      <c r="O21" s="8"/>
    </row>
    <row r="22" spans="2:15" ht="62.4" customHeight="1" x14ac:dyDescent="0.25">
      <c r="B22" s="9">
        <v>3</v>
      </c>
      <c r="C22" s="6">
        <v>16</v>
      </c>
      <c r="D22" s="20" t="str">
        <f>I2&amp; " sürecinin "&amp; "organizasyonu için yeterlilik tanımlarına uygun personel tayin ve tedarik edilmiş midir?"</f>
        <v>M04 ÜRETİMYÖNETİMİ sürecinin organizasyonu için yeterlilik tanımlarına uygun personel tayin ve tedarik edilmiş midir?</v>
      </c>
      <c r="E22" s="20"/>
      <c r="F22" s="22"/>
      <c r="G22" s="12" t="s">
        <v>27</v>
      </c>
      <c r="H22" s="21" t="str">
        <f t="shared" si="1"/>
        <v>Üretim Tasarım Yöneticisi</v>
      </c>
      <c r="I22" s="81" t="s">
        <v>80</v>
      </c>
      <c r="J22" s="82"/>
      <c r="K22" s="38" t="s">
        <v>55</v>
      </c>
      <c r="L22" s="8"/>
      <c r="M22" s="8"/>
      <c r="N22" s="8"/>
      <c r="O22" s="8"/>
    </row>
    <row r="23" spans="2:15" ht="61.8" customHeight="1" x14ac:dyDescent="0.25">
      <c r="B23" s="9">
        <v>3</v>
      </c>
      <c r="C23" s="6">
        <v>17</v>
      </c>
      <c r="D23" s="20" t="str">
        <f>I2&amp; " sürecinin "&amp; "organizasyonunda yer alan roller için yeterlilikler belirlenmiş ve bu yeterliliklerin sağlanması için eğitim vb. faaliyetler gerçekleştiriliyor ve etkinliği değerlendiriliyor mu? DOKÜMANTE BİLGİ (7.2.d)"</f>
        <v>M04 ÜRETİMYÖNETİMİ sürecinin organizasyonunda yer alan roller için yeterlilikler belirlenmiş ve bu yeterliliklerin sağlanması için eğitim vb. faaliyetler gerçekleştiriliyor ve etkinliği değerlendiriliyor mu? DOKÜMANTE BİLGİ (7.2.d)</v>
      </c>
      <c r="E23" s="20"/>
      <c r="F23" s="22"/>
      <c r="G23" s="12" t="s">
        <v>28</v>
      </c>
      <c r="H23" s="21" t="str">
        <f t="shared" si="1"/>
        <v>Üretim Tasarım Yöneticisi</v>
      </c>
      <c r="I23" s="81" t="s">
        <v>80</v>
      </c>
      <c r="J23" s="82"/>
      <c r="K23" s="38" t="s">
        <v>55</v>
      </c>
      <c r="L23" s="8"/>
      <c r="M23" s="8"/>
      <c r="N23" s="8"/>
      <c r="O23" s="8"/>
    </row>
    <row r="24" spans="2:15" ht="45" customHeight="1" x14ac:dyDescent="0.25">
      <c r="B24" s="9">
        <v>3</v>
      </c>
      <c r="C24" s="6">
        <v>18</v>
      </c>
      <c r="D24" s="20" t="str">
        <f>I2&amp; " sürecinin "&amp; "organizasyonunda görev alan personelin, amaçlara ulaşmak veya amaçlardan sapma konularında farkındalıkları yeterli midir?"</f>
        <v>M04 ÜRETİMYÖNETİMİ sürecinin organizasyonunda görev alan personelin, amaçlara ulaşmak veya amaçlardan sapma konularında farkındalıkları yeterli midir?</v>
      </c>
      <c r="E24" s="20"/>
      <c r="F24" s="22"/>
      <c r="G24" s="12" t="s">
        <v>29</v>
      </c>
      <c r="H24" s="21" t="str">
        <f t="shared" si="1"/>
        <v>Üretim Tasarım Yöneticisi</v>
      </c>
      <c r="I24" s="81" t="s">
        <v>81</v>
      </c>
      <c r="J24" s="82"/>
      <c r="K24" s="38" t="s">
        <v>55</v>
      </c>
      <c r="L24" s="8"/>
      <c r="M24" s="8"/>
      <c r="N24" s="8"/>
      <c r="O24" s="8"/>
    </row>
    <row r="25" spans="2:15" ht="73.8" customHeight="1" x14ac:dyDescent="0.25">
      <c r="B25" s="18">
        <v>4</v>
      </c>
      <c r="C25" s="6">
        <v>19</v>
      </c>
      <c r="D25" s="28" t="s">
        <v>45</v>
      </c>
      <c r="E25" s="27"/>
      <c r="F25" s="22"/>
      <c r="G25" s="30" t="s">
        <v>43</v>
      </c>
      <c r="H25" s="24" t="s">
        <v>46</v>
      </c>
      <c r="I25" s="81" t="s">
        <v>82</v>
      </c>
      <c r="J25" s="82"/>
      <c r="K25" s="38" t="s">
        <v>55</v>
      </c>
      <c r="L25" s="8"/>
      <c r="M25" s="8"/>
      <c r="N25" s="8"/>
      <c r="O25" s="8"/>
    </row>
    <row r="26" spans="2:15" ht="85.8" customHeight="1" x14ac:dyDescent="0.25">
      <c r="B26" s="18">
        <v>4</v>
      </c>
      <c r="C26" s="6">
        <v>20</v>
      </c>
      <c r="D26" s="28" t="s">
        <v>47</v>
      </c>
      <c r="E26" s="27"/>
      <c r="F26" s="22"/>
      <c r="G26" s="30" t="s">
        <v>42</v>
      </c>
      <c r="H26" s="24" t="s">
        <v>44</v>
      </c>
      <c r="I26" s="92" t="s">
        <v>83</v>
      </c>
      <c r="J26" s="82"/>
      <c r="K26" s="38" t="s">
        <v>55</v>
      </c>
      <c r="L26" s="8"/>
      <c r="M26" s="8"/>
      <c r="N26" s="37"/>
      <c r="O26" s="8"/>
    </row>
    <row r="27" spans="2:15" ht="51" x14ac:dyDescent="0.25">
      <c r="B27" s="18">
        <v>4</v>
      </c>
      <c r="C27" s="6">
        <v>21</v>
      </c>
      <c r="D27" s="28" t="s">
        <v>48</v>
      </c>
      <c r="E27" s="27"/>
      <c r="F27" s="22"/>
      <c r="G27" s="30" t="s">
        <v>42</v>
      </c>
      <c r="H27" s="24" t="s">
        <v>49</v>
      </c>
      <c r="I27" s="81" t="s">
        <v>84</v>
      </c>
      <c r="J27" s="82"/>
      <c r="K27" s="38" t="s">
        <v>55</v>
      </c>
      <c r="L27" s="8"/>
      <c r="M27" s="8"/>
      <c r="N27" s="8"/>
      <c r="O27" s="8"/>
    </row>
    <row r="28" spans="2:15" ht="42" x14ac:dyDescent="0.25">
      <c r="B28" s="18">
        <v>4</v>
      </c>
      <c r="C28" s="6">
        <v>22</v>
      </c>
      <c r="D28" s="29" t="s">
        <v>51</v>
      </c>
      <c r="E28" s="27"/>
      <c r="F28" s="22"/>
      <c r="G28" s="30" t="s">
        <v>42</v>
      </c>
      <c r="H28" s="25" t="s">
        <v>50</v>
      </c>
      <c r="I28" s="92" t="s">
        <v>85</v>
      </c>
      <c r="J28" s="82"/>
      <c r="K28" s="38" t="s">
        <v>55</v>
      </c>
      <c r="L28" s="8"/>
      <c r="M28" s="37"/>
      <c r="N28" s="8"/>
      <c r="O28" s="37"/>
    </row>
    <row r="29" spans="2:15" ht="73.8" customHeight="1" x14ac:dyDescent="0.25">
      <c r="B29" s="18">
        <v>4</v>
      </c>
      <c r="C29" s="6">
        <v>23</v>
      </c>
      <c r="D29" s="19" t="s">
        <v>52</v>
      </c>
      <c r="E29" s="27"/>
      <c r="F29" s="22"/>
      <c r="G29" s="30" t="s">
        <v>53</v>
      </c>
      <c r="H29" s="25" t="s">
        <v>50</v>
      </c>
      <c r="I29" s="81" t="s">
        <v>91</v>
      </c>
      <c r="J29" s="82"/>
      <c r="K29" s="38"/>
      <c r="L29" s="8"/>
      <c r="M29" s="37"/>
      <c r="N29" s="38" t="s">
        <v>55</v>
      </c>
      <c r="O29" s="37"/>
    </row>
    <row r="30" spans="2:15" ht="26.4" x14ac:dyDescent="0.25">
      <c r="B30" s="9">
        <v>5</v>
      </c>
      <c r="C30" s="6">
        <v>24</v>
      </c>
      <c r="D30" s="7" t="str">
        <f>I2&amp; " sürecinin "&amp; "sürecinin tüm işlemleri için oluşturulmuş ve kontrol edilen prosedü(ler) mevcut mudur?"</f>
        <v>M04 ÜRETİMYÖNETİMİ sürecinin sürecinin tüm işlemleri için oluşturulmuş ve kontrol edilen prosedü(ler) mevcut mudur?</v>
      </c>
      <c r="E30" s="7"/>
      <c r="F30" s="22"/>
      <c r="G30" s="12" t="s">
        <v>30</v>
      </c>
      <c r="H30" s="21" t="str">
        <f t="shared" ref="H30:H33" si="2">$I$4</f>
        <v>Üretim Tasarım Yöneticisi</v>
      </c>
      <c r="I30" s="81" t="s">
        <v>86</v>
      </c>
      <c r="J30" s="82"/>
      <c r="K30" s="38" t="s">
        <v>55</v>
      </c>
      <c r="L30" s="8"/>
      <c r="M30" s="8"/>
      <c r="N30" s="8"/>
      <c r="O30" s="8"/>
    </row>
    <row r="31" spans="2:15" ht="33.6" customHeight="1" x14ac:dyDescent="0.25">
      <c r="B31" s="9">
        <v>6</v>
      </c>
      <c r="C31" s="6">
        <v>25</v>
      </c>
      <c r="D31" s="7" t="str">
        <f>I2&amp; " sürecinin "&amp; "performansı ve etkinliği değerlendirilmekte midir? DOKÜMANTE BİLGİ (9.1.1)"</f>
        <v>M04 ÜRETİMYÖNETİMİ sürecinin performansı ve etkinliği değerlendirilmekte midir? DOKÜMANTE BİLGİ (9.1.1)</v>
      </c>
      <c r="E31" s="7"/>
      <c r="F31" s="22"/>
      <c r="G31" s="12" t="s">
        <v>31</v>
      </c>
      <c r="H31" s="21" t="str">
        <f t="shared" si="2"/>
        <v>Üretim Tasarım Yöneticisi</v>
      </c>
      <c r="I31" s="81" t="s">
        <v>87</v>
      </c>
      <c r="J31" s="82"/>
      <c r="K31" s="38" t="s">
        <v>55</v>
      </c>
      <c r="L31" s="8"/>
      <c r="M31" s="37"/>
      <c r="N31" s="37"/>
      <c r="O31" s="8"/>
    </row>
    <row r="32" spans="2:15" ht="26.4" customHeight="1" x14ac:dyDescent="0.25">
      <c r="B32" s="9">
        <v>6</v>
      </c>
      <c r="C32" s="6">
        <v>26</v>
      </c>
      <c r="D32" s="7" t="str">
        <f>I2&amp; " sürecinin "&amp; "sürecinin müşterlerinin memnuniyeti ölçülüyor mu?"</f>
        <v>M04 ÜRETİMYÖNETİMİ sürecinin sürecinin müşterlerinin memnuniyeti ölçülüyor mu?</v>
      </c>
      <c r="E32" s="7"/>
      <c r="F32" s="22"/>
      <c r="G32" s="12" t="s">
        <v>32</v>
      </c>
      <c r="H32" s="21" t="str">
        <f t="shared" si="2"/>
        <v>Üretim Tasarım Yöneticisi</v>
      </c>
      <c r="I32" s="81" t="s">
        <v>88</v>
      </c>
      <c r="J32" s="82"/>
      <c r="K32" s="38" t="s">
        <v>55</v>
      </c>
      <c r="L32" s="8"/>
      <c r="M32" s="8"/>
      <c r="N32" s="8"/>
      <c r="O32" s="8"/>
    </row>
    <row r="33" spans="2:15" ht="26.4" x14ac:dyDescent="0.25">
      <c r="B33" s="9">
        <v>6</v>
      </c>
      <c r="C33" s="6">
        <v>27</v>
      </c>
      <c r="D33" s="7" t="str">
        <f>I2&amp; " sürecinin "&amp; "izlenmesi ve ölçülmesine ait sonuçlar, istatitiksel yöntemler ile analiz ediliyor ve değerlendiriliyor mu?"</f>
        <v>M04 ÜRETİMYÖNETİMİ sürecinin izlenmesi ve ölçülmesine ait sonuçlar, istatitiksel yöntemler ile analiz ediliyor ve değerlendiriliyor mu?</v>
      </c>
      <c r="E33" s="7"/>
      <c r="F33" s="22"/>
      <c r="G33" s="12" t="s">
        <v>33</v>
      </c>
      <c r="H33" s="21" t="str">
        <f t="shared" si="2"/>
        <v>Üretim Tasarım Yöneticisi</v>
      </c>
      <c r="I33" s="81" t="s">
        <v>90</v>
      </c>
      <c r="J33" s="82"/>
      <c r="K33" s="38" t="s">
        <v>55</v>
      </c>
      <c r="L33" s="8"/>
      <c r="M33" s="8"/>
      <c r="N33" s="8"/>
      <c r="O33" s="8"/>
    </row>
    <row r="34" spans="2:15" x14ac:dyDescent="0.25">
      <c r="C34" s="23" t="s">
        <v>38</v>
      </c>
      <c r="I34" s="32" t="s">
        <v>89</v>
      </c>
      <c r="K34" s="1">
        <v>26</v>
      </c>
      <c r="L34" s="1">
        <v>0</v>
      </c>
      <c r="M34" s="1">
        <v>0</v>
      </c>
      <c r="N34" s="1">
        <v>1</v>
      </c>
    </row>
    <row r="37" spans="2:15" ht="15.6" x14ac:dyDescent="0.3">
      <c r="C37" s="39" t="s">
        <v>56</v>
      </c>
      <c r="D37" s="40"/>
      <c r="E37" s="40"/>
      <c r="F37" s="41"/>
      <c r="G37" s="40"/>
      <c r="H37" s="40"/>
      <c r="I37" s="40"/>
      <c r="J37" s="40"/>
      <c r="K37" s="40"/>
    </row>
    <row r="38" spans="2:15" ht="14.4" x14ac:dyDescent="0.3">
      <c r="C38" s="42" t="s">
        <v>57</v>
      </c>
      <c r="D38" s="40"/>
      <c r="E38" s="40"/>
      <c r="F38" s="41"/>
      <c r="G38" s="40"/>
      <c r="H38" s="40"/>
      <c r="I38" s="40"/>
      <c r="J38" s="40"/>
      <c r="K38" s="40"/>
    </row>
    <row r="39" spans="2:15" ht="14.4" x14ac:dyDescent="0.3">
      <c r="C39" s="95" t="s">
        <v>58</v>
      </c>
      <c r="D39" s="96"/>
      <c r="E39" s="97"/>
      <c r="F39" s="41"/>
      <c r="G39" s="40"/>
      <c r="H39" s="40"/>
      <c r="I39" s="40"/>
      <c r="J39" s="40"/>
      <c r="K39" s="40"/>
    </row>
    <row r="40" spans="2:15" ht="14.4" x14ac:dyDescent="0.3">
      <c r="C40" s="43"/>
      <c r="D40" s="44"/>
      <c r="E40" s="45"/>
      <c r="F40" s="41"/>
      <c r="G40" s="40"/>
      <c r="H40" s="40"/>
      <c r="I40" s="40"/>
      <c r="J40" s="40"/>
      <c r="K40" s="40"/>
    </row>
    <row r="41" spans="2:15" ht="14.4" x14ac:dyDescent="0.3">
      <c r="C41" s="46"/>
      <c r="D41" s="40"/>
      <c r="E41" s="40"/>
      <c r="F41" s="41"/>
      <c r="G41" s="40"/>
      <c r="H41" s="40"/>
      <c r="I41" s="40"/>
      <c r="J41" s="40"/>
      <c r="K41" s="40"/>
    </row>
    <row r="42" spans="2:15" ht="14.4" x14ac:dyDescent="0.3">
      <c r="C42" s="42" t="s">
        <v>59</v>
      </c>
      <c r="D42" s="40"/>
      <c r="E42" s="40"/>
      <c r="F42" s="41"/>
      <c r="G42" s="40"/>
      <c r="H42" s="40"/>
      <c r="I42" s="40"/>
      <c r="J42" s="40"/>
      <c r="K42" s="40"/>
    </row>
    <row r="43" spans="2:15" ht="14.4" x14ac:dyDescent="0.3">
      <c r="C43" s="98" t="s">
        <v>93</v>
      </c>
      <c r="D43" s="99"/>
      <c r="E43" s="100"/>
      <c r="F43" s="41"/>
      <c r="G43" s="40"/>
      <c r="H43" s="40"/>
      <c r="I43" s="40"/>
      <c r="J43" s="40"/>
      <c r="K43" s="40"/>
    </row>
    <row r="44" spans="2:15" ht="31.8" customHeight="1" x14ac:dyDescent="0.3">
      <c r="C44" s="101"/>
      <c r="D44" s="102"/>
      <c r="E44" s="103"/>
      <c r="F44" s="41"/>
      <c r="G44" s="40"/>
      <c r="H44" s="40"/>
      <c r="I44" s="40"/>
      <c r="J44" s="40"/>
      <c r="K44" s="40"/>
    </row>
    <row r="45" spans="2:15" ht="14.4" x14ac:dyDescent="0.3">
      <c r="C45" s="46"/>
      <c r="D45" s="40"/>
      <c r="E45" s="40"/>
      <c r="F45" s="41"/>
      <c r="G45" s="40"/>
      <c r="H45" s="40"/>
      <c r="I45" s="40"/>
      <c r="J45" s="40"/>
      <c r="K45" s="40"/>
    </row>
    <row r="46" spans="2:15" ht="14.4" x14ac:dyDescent="0.3">
      <c r="C46" s="42" t="s">
        <v>60</v>
      </c>
      <c r="D46" s="40"/>
      <c r="E46" s="40"/>
      <c r="F46" s="41"/>
      <c r="G46" s="40"/>
      <c r="H46" s="40"/>
      <c r="I46" s="40"/>
      <c r="J46" s="40"/>
      <c r="K46" s="40"/>
    </row>
    <row r="47" spans="2:15" ht="14.4" x14ac:dyDescent="0.3">
      <c r="C47" s="104" t="s">
        <v>92</v>
      </c>
      <c r="D47" s="105"/>
      <c r="E47" s="106"/>
      <c r="F47" s="41"/>
      <c r="G47" s="40"/>
      <c r="H47" s="40"/>
      <c r="I47" s="40"/>
      <c r="J47" s="40"/>
      <c r="K47" s="40"/>
    </row>
    <row r="48" spans="2:15" ht="54" customHeight="1" x14ac:dyDescent="0.3">
      <c r="C48" s="107"/>
      <c r="D48" s="108"/>
      <c r="E48" s="109"/>
      <c r="F48" s="41"/>
      <c r="G48" s="40"/>
      <c r="H48" s="40"/>
      <c r="I48" s="40"/>
      <c r="J48" s="40"/>
      <c r="K48" s="40"/>
    </row>
    <row r="49" spans="3:11" ht="15.6" x14ac:dyDescent="0.3">
      <c r="C49" s="39" t="s">
        <v>61</v>
      </c>
      <c r="D49" s="40"/>
      <c r="E49" s="40"/>
      <c r="F49" s="41"/>
      <c r="G49" s="40"/>
      <c r="H49" s="40"/>
      <c r="I49" s="40"/>
      <c r="J49" s="40"/>
      <c r="K49" s="40"/>
    </row>
    <row r="50" spans="3:11" ht="14.4" x14ac:dyDescent="0.3">
      <c r="C50" s="89">
        <v>100</v>
      </c>
      <c r="D50" s="89"/>
      <c r="E50" s="89"/>
      <c r="F50" s="41"/>
      <c r="G50" s="40"/>
      <c r="H50" s="40"/>
      <c r="I50" s="40"/>
      <c r="J50" s="40"/>
      <c r="K50" s="40"/>
    </row>
    <row r="51" spans="3:11" ht="14.4" x14ac:dyDescent="0.3">
      <c r="C51" s="47"/>
      <c r="D51" s="40"/>
      <c r="E51" s="40"/>
      <c r="F51" s="41"/>
      <c r="G51" s="48"/>
      <c r="H51" s="40"/>
      <c r="I51" s="40"/>
      <c r="J51" s="40"/>
      <c r="K51" s="40"/>
    </row>
    <row r="52" spans="3:11" ht="14.4" x14ac:dyDescent="0.3">
      <c r="C52" s="47"/>
      <c r="D52" s="40"/>
      <c r="E52" s="40"/>
      <c r="F52" s="41"/>
      <c r="G52" s="49" t="s">
        <v>62</v>
      </c>
      <c r="H52" s="50"/>
      <c r="I52" s="51" t="s">
        <v>95</v>
      </c>
      <c r="J52" s="52"/>
      <c r="K52" s="52"/>
    </row>
    <row r="53" spans="3:11" ht="14.4" x14ac:dyDescent="0.3">
      <c r="C53" s="47"/>
      <c r="D53" s="40"/>
      <c r="E53" s="40"/>
      <c r="F53" s="41"/>
      <c r="G53" s="51" t="s">
        <v>94</v>
      </c>
      <c r="H53" s="52"/>
      <c r="I53" s="52"/>
      <c r="J53" s="52"/>
      <c r="K53" s="52"/>
    </row>
  </sheetData>
  <mergeCells count="43">
    <mergeCell ref="C47:E48"/>
    <mergeCell ref="C4:D4"/>
    <mergeCell ref="I17:J17"/>
    <mergeCell ref="C39:E39"/>
    <mergeCell ref="C43:E44"/>
    <mergeCell ref="I32:J32"/>
    <mergeCell ref="I16:J16"/>
    <mergeCell ref="I15:J15"/>
    <mergeCell ref="C50:E50"/>
    <mergeCell ref="I18:J18"/>
    <mergeCell ref="I20:J20"/>
    <mergeCell ref="I21:J21"/>
    <mergeCell ref="I29:J29"/>
    <mergeCell ref="I22:J22"/>
    <mergeCell ref="I23:J23"/>
    <mergeCell ref="I24:J24"/>
    <mergeCell ref="I27:J27"/>
    <mergeCell ref="I19:J19"/>
    <mergeCell ref="I25:J25"/>
    <mergeCell ref="I33:J33"/>
    <mergeCell ref="I30:J30"/>
    <mergeCell ref="I31:J31"/>
    <mergeCell ref="I28:J28"/>
    <mergeCell ref="I26:J26"/>
    <mergeCell ref="G2:H2"/>
    <mergeCell ref="F5:F6"/>
    <mergeCell ref="K4:O4"/>
    <mergeCell ref="K5:N5"/>
    <mergeCell ref="I14:J14"/>
    <mergeCell ref="I7:J7"/>
    <mergeCell ref="I8:J8"/>
    <mergeCell ref="I11:J11"/>
    <mergeCell ref="I13:J13"/>
    <mergeCell ref="I12:J12"/>
    <mergeCell ref="G3:H3"/>
    <mergeCell ref="B5:B6"/>
    <mergeCell ref="I5:J6"/>
    <mergeCell ref="I9:J9"/>
    <mergeCell ref="H5:H6"/>
    <mergeCell ref="C5:C6"/>
    <mergeCell ref="E5:E6"/>
    <mergeCell ref="G5:G6"/>
    <mergeCell ref="D5:D6"/>
  </mergeCells>
  <conditionalFormatting sqref="F7:F33">
    <cfRule type="expression" dxfId="0" priority="1">
      <formula>F7="N/A"</formula>
    </cfRule>
  </conditionalFormatting>
  <dataValidations count="1">
    <dataValidation type="list" allowBlank="1" showInputMessage="1" showErrorMessage="1" sqref="F7:F33" xr:uid="{00000000-0002-0000-0000-000000000000}">
      <formula1>"N/A"</formula1>
    </dataValidation>
  </dataValidations>
  <printOptions horizontalCentered="1"/>
  <pageMargins left="0.15748031496062992" right="0.15748031496062992" top="0.31496062992125984" bottom="0.35433070866141736" header="0.23622047244094491" footer="0.15748031496062992"/>
  <pageSetup paperSize="9" scale="79" fitToHeight="0" orientation="landscape" r:id="rId1"/>
  <headerFooter>
    <oddFooter>&amp;R&amp;"Arial,Normal"Y03 F19(1)_07.04.2025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SORU LİSTESİ</vt:lpstr>
      <vt:lpstr>'SORU LİSTESİ'!Yazdırma_Alanı</vt:lpstr>
      <vt:lpstr>'SORU LİSTESİ'!Yazdırma_Başlıkları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2025-05-09T14:12:15Z</dcterms:modified>
</cp:coreProperties>
</file>