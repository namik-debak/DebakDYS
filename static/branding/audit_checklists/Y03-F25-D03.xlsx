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4F07B2AD-05A8-4AFF-98B5-2B47D14C7B8A}" xr6:coauthVersionLast="47" xr6:coauthVersionMax="47" xr10:uidLastSave="{00000000-0000-0000-0000-000000000000}"/>
  <bookViews>
    <workbookView xWindow="-108" yWindow="-108" windowWidth="23256" windowHeight="12456" tabRatio="541" xr2:uid="{00000000-000D-0000-FFFF-FFFF00000000}"/>
  </bookViews>
  <sheets>
    <sheet name="SORU LİSTESİ" sheetId="2" r:id="rId1"/>
  </sheets>
  <definedNames>
    <definedName name="_xlnm.Print_Area" localSheetId="0">'SORU LİSTESİ'!$C$2:$O$32</definedName>
    <definedName name="_xlnm.Print_Titles" localSheetId="0">'SORU LİSTESİ'!$2:$6</definedName>
  </definedNames>
  <calcPr calcId="191029"/>
</workbook>
</file>

<file path=xl/calcChain.xml><?xml version="1.0" encoding="utf-8"?>
<calcChain xmlns="http://schemas.openxmlformats.org/spreadsheetml/2006/main">
  <c r="D29" i="2" l="1"/>
  <c r="H32" i="2"/>
  <c r="D32" i="2"/>
  <c r="H31" i="2"/>
  <c r="D31" i="2"/>
  <c r="H30" i="2"/>
  <c r="D30" i="2"/>
  <c r="H29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</calcChain>
</file>

<file path=xl/sharedStrings.xml><?xml version="1.0" encoding="utf-8"?>
<sst xmlns="http://schemas.openxmlformats.org/spreadsheetml/2006/main" count="123" uniqueCount="85">
  <si>
    <t>DENETİM  RAPORU</t>
  </si>
  <si>
    <t>GÖZLEM / DELİL</t>
  </si>
  <si>
    <t>BULGU</t>
  </si>
  <si>
    <t>Evet</t>
  </si>
  <si>
    <t>Majör</t>
  </si>
  <si>
    <t>Minör</t>
  </si>
  <si>
    <t>İyil.</t>
  </si>
  <si>
    <t>Şart No</t>
  </si>
  <si>
    <t>NO</t>
  </si>
  <si>
    <t>DF</t>
  </si>
  <si>
    <t>No</t>
  </si>
  <si>
    <t>TİP</t>
  </si>
  <si>
    <t>Denetçi(ler):</t>
  </si>
  <si>
    <t>4.4</t>
  </si>
  <si>
    <t>6.2</t>
  </si>
  <si>
    <t>6.1</t>
  </si>
  <si>
    <t>6.3</t>
  </si>
  <si>
    <t>9.2</t>
  </si>
  <si>
    <t>9.3</t>
  </si>
  <si>
    <t>10.2</t>
  </si>
  <si>
    <t>10.3</t>
  </si>
  <si>
    <t>7.4</t>
  </si>
  <si>
    <t>7.1.3</t>
  </si>
  <si>
    <t>7.1.4</t>
  </si>
  <si>
    <t>7.1.5</t>
  </si>
  <si>
    <t>5.2</t>
  </si>
  <si>
    <t>5.3</t>
  </si>
  <si>
    <t>7.1.2</t>
  </si>
  <si>
    <t>7.2</t>
  </si>
  <si>
    <t>7.3</t>
  </si>
  <si>
    <t>7.5</t>
  </si>
  <si>
    <t>9.1.1</t>
  </si>
  <si>
    <t>9.1.2</t>
  </si>
  <si>
    <t>9.1.3</t>
  </si>
  <si>
    <t xml:space="preserve">Kime </t>
  </si>
  <si>
    <t>Süreç Lideri:</t>
  </si>
  <si>
    <t xml:space="preserve">Süreç Adı: </t>
  </si>
  <si>
    <t>N/A</t>
  </si>
  <si>
    <t>N/A : Uygulanamaz (Non Applicable)</t>
  </si>
  <si>
    <t>SORU</t>
  </si>
  <si>
    <t>İşlemNo</t>
  </si>
  <si>
    <t>2 3</t>
  </si>
  <si>
    <t>Tüm süreçler için prosedürler mevcut</t>
  </si>
  <si>
    <t>.</t>
  </si>
  <si>
    <t>√</t>
  </si>
  <si>
    <t>DENETİM BULGULARI:</t>
  </si>
  <si>
    <t xml:space="preserve">1) Uygunsuzluklar: </t>
  </si>
  <si>
    <t>2) Kuvvetli Yönler:</t>
  </si>
  <si>
    <t>3) İyileştirme Önerileri:</t>
  </si>
  <si>
    <t>DENETİM SONUCU:</t>
  </si>
  <si>
    <t>Güllü Ünlü</t>
  </si>
  <si>
    <t>Günlük QRQC toplantıları ve yıllık olarak YGG de gözden geçirilmektedir.</t>
  </si>
  <si>
    <t>Süreç Bazlı YGG toplantıları gerçekleştirilmekte ve analiz ve değerlendirmeler gerçekleştirilmektedir.</t>
  </si>
  <si>
    <t>UYGUNSUZLUK TESPİT EDİLMEMİŞTİR.</t>
  </si>
  <si>
    <t>uygun şartlar ve donanımlar sağlanmıştır</t>
  </si>
  <si>
    <t>Canias ERP proğramı ile tüm sistem ve prosesler bir çatı altında toplanmıştır.</t>
  </si>
  <si>
    <t>Denetim Tarihi ve Kodu: 09.05.2024</t>
  </si>
  <si>
    <t>Stajyer Denetçi(ler):</t>
  </si>
  <si>
    <t xml:space="preserve">Proses altyapısının sürekliliği için bakım ihtiyaçları belirleniyor ve bakım takvimine göre takip edililiyor mu? </t>
  </si>
  <si>
    <t>8.5.1.5</t>
  </si>
  <si>
    <t>Üretim &amp; Tasarım Yöneticisi</t>
  </si>
  <si>
    <t xml:space="preserve">Periyodik bakım sürelerinin takibi için ( sayaç takibi , bakım planının ekibe iletilmesi vs.)  metodlar ve sorumluluklar tanımlanmış mı? </t>
  </si>
  <si>
    <t xml:space="preserve">Koruyucu bakımlar plana uygun gerçekleştirilmekte  ve ilgili kayıtları tutulmakta mıdır? </t>
  </si>
  <si>
    <t xml:space="preserve">Arıza bakımları belirlenen sorumlular tarafından gerçekleştirilmekte ve kayıtları tutulmakta mıdır? </t>
  </si>
  <si>
    <t>Performasn parametreleri tanımlı olup, belirlenen aralıklarda aylık ve yıllık olarak gözden geçirilmektedir.</t>
  </si>
  <si>
    <t>Kalıphane Mühendisi-Laboratuvar Mühendisi</t>
  </si>
  <si>
    <t>Ferudun Gündüz</t>
  </si>
  <si>
    <t>Süreç Bazlı risk analizi içersinde kaplumbağa diyagramında belirtilmiştir</t>
  </si>
  <si>
    <t>Süreç Bazlı risk analizi içersinde kaplumbağa diyagramında belirtilmiştir.</t>
  </si>
  <si>
    <t>D8.3 P01 Ölçüm Sistemlerinin Yönetimi Prosedürü - D4.2 P06 YATIRIM YÖNETİMİ PROSEDÜRÜ-T3.3 P01 Bakım Yönetimi Prosedürü-T3.2 P01 Avadanlık  Yönetimi Prosedürü</t>
  </si>
  <si>
    <t>2 ad Proses denetimi gerçekleştirilmiş.D8.6 F02 Proses Denetimi 698637-26.01.2024 &amp; Process Audit _Rain Cap_15.01.2024</t>
  </si>
  <si>
    <t>politikalara web sitesinden ve sahadaki panodan erişim sağlanabilmektedir.</t>
  </si>
  <si>
    <t>QLTT 07 Düzeltici faaliyetler düzenlenmekte ve tüm  Listede takip edilmektedir.Müşteri Şikayeti - 564327 blade üzerinde çapak+pahsız 10.10.2024 tarihinde kapatılmış olan müşteri şikayeti incelendi.</t>
  </si>
  <si>
    <t xml:space="preserve">Canias DBKT01 makine ve kalıplar bakımları kontrol edilmektedir. </t>
  </si>
  <si>
    <t>İmza ve tarih : 09.05.2024</t>
  </si>
  <si>
    <t>D2 F 6.01 Personel Yetkinlik İzleme Tablosu 2024- Canias TRNT 21 Eğitim kayıtları tutulmakta ve personel sicil kayıtlarına eklenmektedir.20.03.2024 tarihinde WMF Yan Sap Kalite Kontrol Eğitimi ne Cennet Ülgül ün katılım sağlandığı görüldü.</t>
  </si>
  <si>
    <t>Kalıphane ve Bakım Yönetimi içerisindeCanias DBKT01 Bakım Modülü kullanılmaktadır. Canias Kalibrasyon ve Bakım modülü çalıştırılacaktır.D8.3 F01 Laboratuvar Kapsamı - D8.3 F02 İzl. Ölç. Cih. &amp; Kalib. Listesi_2024 listeleri takip edilmektedir.</t>
  </si>
  <si>
    <t>D4.4 F06 Tüm Süreçler Performans İzleme Tablosu 2024</t>
  </si>
  <si>
    <t>D8.5 P01 Değişikliklerin Yönetimi Prosedürü</t>
  </si>
  <si>
    <t>Amaçlar ve hedefler belirlenmştir.D4.4 F06 Tüm Süreçler Performans İzleme Tablosu 2024</t>
  </si>
  <si>
    <t xml:space="preserve">Canias DBKT01 makine ve kalıplar bakımları kontrol edilmektedir. KLP00321 nolu 485544 ref. Ürün kalıbının bakımı 10.06.2024 tarihinde  gerçeklkeştirilmiştir. Periyodik 30.000 baskı </t>
  </si>
  <si>
    <t xml:space="preserve">Canias DBKT01 makine ve kalıplar bakımları kontrol edilmektedir. KLP00321 nolu 485544 ref. Ürün kalıbının bakımı 10.06.2024 tarihinde  gerçeklkeştirilmiştir. (Periyodik 30.000 baskı )
Bakım kontrolleri uyarı olarak sisteme geçmektedir.Ancak mail olarak bildirim yapılabilir. Yaklaşan bakımlar olarak bilgilendirme yapabilir. </t>
  </si>
  <si>
    <t>1 adet iiyileştirme tespit edilmiştir. Bakımlar takip edilmekte ancak sisteme giriş yapıldığında yaklaştığı görünüyor. Budurum uyarı sistemi mail ilgili kişilere iletilebilir.</t>
  </si>
  <si>
    <t>Bakım Yönetimi</t>
  </si>
  <si>
    <t>Ana Referansı: T3.3 P01 Bakım Yönetimi Prosedürü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</si>
</sst>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8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  <font>
      <sz val="16"/>
      <color theme="1"/>
      <name val="Arial Tur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b/>
      <sz val="8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2" fillId="0" borderId="0"/>
  </cellStyleXfs>
  <cellXfs count="98">
    <xf numFmtId="0" fontId="0" fillId="0" borderId="0" xfId="0"/>
    <xf numFmtId="0" fontId="2" fillId="0" borderId="0" xfId="0" applyFont="1"/>
    <xf numFmtId="0" fontId="6" fillId="2" borderId="2" xfId="0" applyFont="1" applyFill="1" applyBorder="1" applyAlignment="1">
      <alignment horizontal="left" vertical="center"/>
    </xf>
    <xf numFmtId="49" fontId="7" fillId="3" borderId="4" xfId="0" applyNumberFormat="1" applyFont="1" applyFill="1" applyBorder="1"/>
    <xf numFmtId="0" fontId="4" fillId="3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/>
    <xf numFmtId="0" fontId="7" fillId="0" borderId="6" xfId="0" applyFont="1" applyBorder="1" applyAlignment="1">
      <alignment vertical="center" wrapText="1"/>
    </xf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7" fillId="4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0" xfId="0" applyFont="1"/>
    <xf numFmtId="49" fontId="6" fillId="2" borderId="2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1" fillId="0" borderId="6" xfId="0" applyFont="1" applyBorder="1"/>
    <xf numFmtId="49" fontId="6" fillId="2" borderId="1" xfId="0" quotePrefix="1" applyNumberFormat="1" applyFont="1" applyFill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0" fillId="5" borderId="0" xfId="0" applyFill="1"/>
    <xf numFmtId="0" fontId="14" fillId="5" borderId="0" xfId="0" applyFont="1" applyFill="1"/>
    <xf numFmtId="0" fontId="11" fillId="5" borderId="0" xfId="0" applyFont="1" applyFill="1"/>
    <xf numFmtId="0" fontId="0" fillId="4" borderId="0" xfId="0" applyFill="1"/>
    <xf numFmtId="0" fontId="13" fillId="5" borderId="0" xfId="0" applyFont="1" applyFill="1"/>
    <xf numFmtId="0" fontId="4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4" fillId="5" borderId="0" xfId="0" applyFont="1" applyFill="1"/>
    <xf numFmtId="0" fontId="4" fillId="3" borderId="0" xfId="0" applyFont="1" applyFill="1"/>
    <xf numFmtId="0" fontId="0" fillId="3" borderId="0" xfId="0" applyFill="1"/>
    <xf numFmtId="0" fontId="2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49" fontId="4" fillId="6" borderId="6" xfId="0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center"/>
    </xf>
    <xf numFmtId="0" fontId="19" fillId="0" borderId="0" xfId="0" applyFont="1"/>
    <xf numFmtId="0" fontId="17" fillId="2" borderId="2" xfId="0" quotePrefix="1" applyFont="1" applyFill="1" applyBorder="1" applyAlignment="1">
      <alignment horizontal="left" vertical="center"/>
    </xf>
    <xf numFmtId="0" fontId="17" fillId="2" borderId="2" xfId="0" applyFont="1" applyFill="1" applyBorder="1"/>
    <xf numFmtId="0" fontId="19" fillId="2" borderId="2" xfId="0" quotePrefix="1" applyFont="1" applyFill="1" applyBorder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20" fillId="2" borderId="2" xfId="0" quotePrefix="1" applyFont="1" applyFill="1" applyBorder="1" applyAlignment="1">
      <alignment horizontal="left" vertical="center"/>
    </xf>
    <xf numFmtId="0" fontId="19" fillId="2" borderId="2" xfId="0" applyFont="1" applyFill="1" applyBorder="1"/>
    <xf numFmtId="0" fontId="21" fillId="5" borderId="0" xfId="0" applyFont="1" applyFill="1"/>
    <xf numFmtId="0" fontId="21" fillId="3" borderId="0" xfId="0" applyFont="1" applyFill="1"/>
    <xf numFmtId="0" fontId="19" fillId="6" borderId="3" xfId="0" applyFont="1" applyFill="1" applyBorder="1" applyAlignment="1">
      <alignment horizontal="center" vertical="center" wrapText="1"/>
    </xf>
    <xf numFmtId="0" fontId="19" fillId="6" borderId="1" xfId="0" quotePrefix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vertical="center" wrapText="1"/>
    </xf>
    <xf numFmtId="0" fontId="19" fillId="4" borderId="3" xfId="0" applyFont="1" applyFill="1" applyBorder="1" applyAlignment="1">
      <alignment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0" fontId="16" fillId="4" borderId="3" xfId="0" applyFont="1" applyFill="1" applyBorder="1" applyAlignment="1">
      <alignment vertical="center" wrapText="1"/>
    </xf>
    <xf numFmtId="0" fontId="19" fillId="4" borderId="1" xfId="0" quotePrefix="1" applyFont="1" applyFill="1" applyBorder="1" applyAlignment="1">
      <alignment vertical="center" wrapText="1"/>
    </xf>
    <xf numFmtId="0" fontId="19" fillId="4" borderId="3" xfId="0" quotePrefix="1" applyFont="1" applyFill="1" applyBorder="1" applyAlignment="1">
      <alignment vertical="center" wrapText="1"/>
    </xf>
    <xf numFmtId="0" fontId="19" fillId="4" borderId="1" xfId="0" quotePrefix="1" applyFont="1" applyFill="1" applyBorder="1" applyAlignment="1">
      <alignment horizontal="left" vertical="center" wrapText="1"/>
    </xf>
    <xf numFmtId="0" fontId="19" fillId="4" borderId="3" xfId="0" quotePrefix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49" fontId="6" fillId="2" borderId="1" xfId="0" quotePrefix="1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0" xfId="0" applyFill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O53"/>
  <sheetViews>
    <sheetView showGridLines="0" tabSelected="1" zoomScale="85" zoomScaleNormal="85" workbookViewId="0">
      <pane ySplit="6" topLeftCell="A7" activePane="bottomLeft" state="frozen"/>
      <selection pane="bottomLeft" activeCell="D30" sqref="D30"/>
    </sheetView>
  </sheetViews>
  <sheetFormatPr defaultColWidth="9.109375" defaultRowHeight="13.8" x14ac:dyDescent="0.25"/>
  <cols>
    <col min="1" max="1" width="3.44140625" style="1" customWidth="1"/>
    <col min="2" max="2" width="4" style="8" customWidth="1"/>
    <col min="3" max="3" width="5.109375" style="1" customWidth="1"/>
    <col min="4" max="4" width="71.33203125" style="1" customWidth="1"/>
    <col min="5" max="5" width="6.109375" style="1" customWidth="1"/>
    <col min="6" max="6" width="5.44140625" style="1" customWidth="1"/>
    <col min="7" max="7" width="5.5546875" style="10" customWidth="1"/>
    <col min="8" max="8" width="10.5546875" style="10" customWidth="1"/>
    <col min="9" max="9" width="13.6640625" style="49" customWidth="1"/>
    <col min="10" max="10" width="33.77734375" style="49" customWidth="1"/>
    <col min="11" max="14" width="5.109375" style="1" customWidth="1"/>
    <col min="15" max="15" width="12.109375" style="1" bestFit="1" customWidth="1"/>
    <col min="16" max="16384" width="9.109375" style="1"/>
  </cols>
  <sheetData>
    <row r="1" spans="1:15" ht="6.75" customHeight="1" x14ac:dyDescent="0.25"/>
    <row r="2" spans="1:15" ht="21" x14ac:dyDescent="0.4">
      <c r="C2" s="15" t="s">
        <v>0</v>
      </c>
      <c r="D2" s="15"/>
      <c r="E2" s="16"/>
      <c r="F2" s="16"/>
      <c r="G2" s="83" t="s">
        <v>36</v>
      </c>
      <c r="H2" s="83"/>
      <c r="I2" s="50" t="s">
        <v>83</v>
      </c>
      <c r="J2" s="51"/>
      <c r="K2" s="16"/>
      <c r="L2" s="16"/>
      <c r="M2" s="16"/>
      <c r="N2" s="16"/>
      <c r="O2" s="17"/>
    </row>
    <row r="3" spans="1:15" ht="21" x14ac:dyDescent="0.4">
      <c r="C3" s="25" t="s">
        <v>56</v>
      </c>
      <c r="D3" s="12"/>
      <c r="E3" s="13"/>
      <c r="F3" s="13"/>
      <c r="G3" s="2" t="s">
        <v>12</v>
      </c>
      <c r="H3" s="2"/>
      <c r="I3" s="52" t="s">
        <v>50</v>
      </c>
      <c r="J3" s="53" t="s">
        <v>57</v>
      </c>
      <c r="K3" s="42"/>
      <c r="L3" s="13"/>
      <c r="M3" s="13"/>
      <c r="N3" s="13"/>
      <c r="O3" s="14"/>
    </row>
    <row r="4" spans="1:15" ht="42.75" customHeight="1" x14ac:dyDescent="0.4">
      <c r="C4" s="81" t="s">
        <v>84</v>
      </c>
      <c r="D4" s="82"/>
      <c r="E4" s="22"/>
      <c r="F4" s="22"/>
      <c r="G4" s="2" t="s">
        <v>35</v>
      </c>
      <c r="H4" s="2"/>
      <c r="I4" s="54" t="s">
        <v>65</v>
      </c>
      <c r="J4" s="55"/>
      <c r="K4" s="47"/>
      <c r="L4" s="48" t="s">
        <v>66</v>
      </c>
      <c r="M4" s="13"/>
      <c r="N4" s="13"/>
      <c r="O4" s="14"/>
    </row>
    <row r="5" spans="1:15" ht="15" customHeight="1" x14ac:dyDescent="0.25">
      <c r="B5" s="60" t="s">
        <v>11</v>
      </c>
      <c r="C5" s="69" t="s">
        <v>8</v>
      </c>
      <c r="D5" s="84" t="s">
        <v>39</v>
      </c>
      <c r="E5" s="71" t="s">
        <v>40</v>
      </c>
      <c r="F5" s="84" t="s">
        <v>37</v>
      </c>
      <c r="G5" s="67" t="s">
        <v>7</v>
      </c>
      <c r="H5" s="67" t="s">
        <v>34</v>
      </c>
      <c r="I5" s="61" t="s">
        <v>1</v>
      </c>
      <c r="J5" s="62"/>
      <c r="K5" s="86" t="s">
        <v>2</v>
      </c>
      <c r="L5" s="87"/>
      <c r="M5" s="87"/>
      <c r="N5" s="88"/>
      <c r="O5" s="3" t="s">
        <v>9</v>
      </c>
    </row>
    <row r="6" spans="1:15" ht="15" customHeight="1" x14ac:dyDescent="0.25">
      <c r="B6" s="60"/>
      <c r="C6" s="70"/>
      <c r="D6" s="85"/>
      <c r="E6" s="72"/>
      <c r="F6" s="85"/>
      <c r="G6" s="68"/>
      <c r="H6" s="68"/>
      <c r="I6" s="63"/>
      <c r="J6" s="64"/>
      <c r="K6" s="4" t="s">
        <v>3</v>
      </c>
      <c r="L6" s="4" t="s">
        <v>4</v>
      </c>
      <c r="M6" s="4" t="s">
        <v>5</v>
      </c>
      <c r="N6" s="4" t="s">
        <v>6</v>
      </c>
      <c r="O6" s="5" t="s">
        <v>10</v>
      </c>
    </row>
    <row r="7" spans="1:15" ht="52.8" customHeight="1" x14ac:dyDescent="0.25">
      <c r="A7" s="21" t="s">
        <v>43</v>
      </c>
      <c r="B7" s="9">
        <v>1</v>
      </c>
      <c r="C7" s="37">
        <v>1</v>
      </c>
      <c r="D7" s="6" t="str">
        <f>I2&amp; " süreci;"&amp; "girdi prosesleri, girdileri, çıktıları, çıktı prosesleri, işlemleri, işlemlerin yürütülme şekli, organizasyonu, altyapısı, riskleri, olası değişiklikleri, iyileştirme için performans parametreleri tanımlanmış mıdır? DOKÜMANTE BİLGİ (4.4.1)"</f>
        <v>Bakım Yönetimi süreci;girdi prosesleri, girdileri, çıktıları, çıktı prosesleri, işlemleri, işlemlerin yürütülme şekli, organizasyonu, altyapısı, riskleri, olası değişiklikleri, iyileştirme için performans parametreleri tanımlanmış mıdır? DOKÜMANTE BİLGİ (4.4.1)</v>
      </c>
      <c r="E7" s="6"/>
      <c r="F7" s="20"/>
      <c r="G7" s="11" t="s">
        <v>13</v>
      </c>
      <c r="H7" s="19" t="str">
        <f t="shared" ref="H7:H12" si="0">$I$4</f>
        <v>Kalıphane Mühendisi-Laboratuvar Mühendisi</v>
      </c>
      <c r="I7" s="65" t="s">
        <v>67</v>
      </c>
      <c r="J7" s="66"/>
      <c r="K7" s="26" t="s">
        <v>44</v>
      </c>
      <c r="L7" s="7"/>
      <c r="M7" s="7"/>
      <c r="N7" s="7"/>
      <c r="O7" s="7"/>
    </row>
    <row r="8" spans="1:15" ht="40.799999999999997" customHeight="1" x14ac:dyDescent="0.25">
      <c r="B8" s="8">
        <v>1</v>
      </c>
      <c r="C8" s="37">
        <v>2</v>
      </c>
      <c r="D8" s="6" t="str">
        <f>I2&amp; " süreci;"&amp; " için risk ve fırsatları belirleme faaliyetleri gerçekleştirilmekte midir?"</f>
        <v>Bakım Yönetimi süreci; için risk ve fırsatları belirleme faaliyetleri gerçekleştirilmekte midir?</v>
      </c>
      <c r="E8" s="6"/>
      <c r="F8" s="20"/>
      <c r="G8" s="11" t="s">
        <v>15</v>
      </c>
      <c r="H8" s="19" t="str">
        <f t="shared" si="0"/>
        <v>Kalıphane Mühendisi-Laboratuvar Mühendisi</v>
      </c>
      <c r="I8" s="65" t="s">
        <v>68</v>
      </c>
      <c r="J8" s="66"/>
      <c r="K8" s="26" t="s">
        <v>44</v>
      </c>
      <c r="L8" s="7"/>
      <c r="M8" s="7"/>
      <c r="N8" s="7"/>
      <c r="O8" s="7"/>
    </row>
    <row r="9" spans="1:15" ht="40.799999999999997" x14ac:dyDescent="0.25">
      <c r="B9" s="8">
        <v>1</v>
      </c>
      <c r="C9" s="37">
        <v>3</v>
      </c>
      <c r="D9" s="6" t="str">
        <f>I2&amp; " süreci;"&amp; " için amaçlar ve bu amaçlara ulaşmak için aksiyonlar belirlenmiş midir? DOKÜMANTE BİLGİ (6.2.1)"</f>
        <v>Bakım Yönetimi süreci; için amaçlar ve bu amaçlara ulaşmak için aksiyonlar belirlenmiş midir? DOKÜMANTE BİLGİ (6.2.1)</v>
      </c>
      <c r="E9" s="6"/>
      <c r="F9" s="20"/>
      <c r="G9" s="11" t="s">
        <v>14</v>
      </c>
      <c r="H9" s="19" t="str">
        <f t="shared" si="0"/>
        <v>Kalıphane Mühendisi-Laboratuvar Mühendisi</v>
      </c>
      <c r="I9" s="65" t="s">
        <v>79</v>
      </c>
      <c r="J9" s="66"/>
      <c r="K9" s="26" t="s">
        <v>44</v>
      </c>
      <c r="L9" s="7"/>
      <c r="M9" s="7"/>
      <c r="N9" s="7"/>
      <c r="O9" s="7"/>
    </row>
    <row r="10" spans="1:15" ht="40.799999999999997" x14ac:dyDescent="0.25">
      <c r="B10" s="8">
        <v>1</v>
      </c>
      <c r="C10" s="37">
        <v>4</v>
      </c>
      <c r="D10" s="6" t="str">
        <f>I2&amp; " süreci;"&amp; " için sistematik olarak değişiklikler belirleniyor mu?"</f>
        <v>Bakım Yönetimi süreci; için sistematik olarak değişiklikler belirleniyor mu?</v>
      </c>
      <c r="E10" s="6"/>
      <c r="F10" s="20"/>
      <c r="G10" s="11" t="s">
        <v>16</v>
      </c>
      <c r="H10" s="19" t="str">
        <f t="shared" si="0"/>
        <v>Kalıphane Mühendisi-Laboratuvar Mühendisi</v>
      </c>
      <c r="I10" s="89" t="s">
        <v>78</v>
      </c>
      <c r="J10" s="90"/>
      <c r="K10" s="26" t="s">
        <v>44</v>
      </c>
      <c r="L10" s="7"/>
      <c r="M10" s="7"/>
      <c r="N10" s="7"/>
      <c r="O10" s="7"/>
    </row>
    <row r="11" spans="1:15" ht="40.799999999999997" customHeight="1" x14ac:dyDescent="0.25">
      <c r="B11" s="8">
        <v>1</v>
      </c>
      <c r="C11" s="37">
        <v>5</v>
      </c>
      <c r="D11" s="38" t="str">
        <f>I2&amp; " süreci;"&amp; " etkili bir iletişim planı var mıdır, bu plana göre etkili iletişimler gerçekleştirilmekte midir"</f>
        <v>Bakım Yönetimi süreci; etkili bir iletişim planı var mıdır, bu plana göre etkili iletişimler gerçekleştirilmekte midir</v>
      </c>
      <c r="E11" s="38"/>
      <c r="F11" s="39"/>
      <c r="G11" s="40" t="s">
        <v>21</v>
      </c>
      <c r="H11" s="41" t="str">
        <f t="shared" si="0"/>
        <v>Kalıphane Mühendisi-Laboratuvar Mühendisi</v>
      </c>
      <c r="I11" s="73" t="s">
        <v>69</v>
      </c>
      <c r="J11" s="74"/>
      <c r="K11" s="26" t="s">
        <v>44</v>
      </c>
      <c r="L11" s="7"/>
      <c r="M11" s="7"/>
      <c r="N11" s="7"/>
      <c r="O11" s="7"/>
    </row>
    <row r="12" spans="1:15" ht="40.799999999999997" customHeight="1" x14ac:dyDescent="0.25">
      <c r="B12" s="8">
        <v>1</v>
      </c>
      <c r="C12" s="37">
        <v>6</v>
      </c>
      <c r="D12" s="6" t="str">
        <f>I2&amp; " süreci;"&amp; " iç tetkikleri, iç tetkik posedürüne uygun olarak olarak gerçekleştiriliyor mu, tetkik sonuçları iyileştirme faaliyetleri için girdi olarak kullanılıyor mu? DOKÜMANTE BİLGİ (9.2.2.f)"</f>
        <v>Bakım Yönetimi süreci; iç tetkikleri, iç tetkik posedürüne uygun olarak olarak gerçekleştiriliyor mu, tetkik sonuçları iyileştirme faaliyetleri için girdi olarak kullanılıyor mu? DOKÜMANTE BİLGİ (9.2.2.f)</v>
      </c>
      <c r="E12" s="6"/>
      <c r="F12" s="20"/>
      <c r="G12" s="11" t="s">
        <v>17</v>
      </c>
      <c r="H12" s="19" t="str">
        <f t="shared" si="0"/>
        <v>Kalıphane Mühendisi-Laboratuvar Mühendisi</v>
      </c>
      <c r="I12" s="75" t="s">
        <v>70</v>
      </c>
      <c r="J12" s="76"/>
      <c r="K12" s="26" t="s">
        <v>44</v>
      </c>
      <c r="L12" s="7"/>
      <c r="M12" s="7"/>
      <c r="N12" s="7"/>
      <c r="O12" s="7"/>
    </row>
    <row r="13" spans="1:15" ht="40.799999999999997" customHeight="1" x14ac:dyDescent="0.25">
      <c r="B13" s="8">
        <v>1</v>
      </c>
      <c r="C13" s="37">
        <v>7</v>
      </c>
      <c r="D13" s="6" t="str">
        <f>I2&amp; " süreci "&amp;  "belirlenen aralıklarda gözden geçiriliyor mu? DOKÜMANTE BİLGİ (9.3.3)"</f>
        <v>Bakım Yönetimi süreci belirlenen aralıklarda gözden geçiriliyor mu? DOKÜMANTE BİLGİ (9.3.3)</v>
      </c>
      <c r="E13" s="6"/>
      <c r="F13" s="20"/>
      <c r="G13" s="11" t="s">
        <v>18</v>
      </c>
      <c r="H13" s="19" t="str">
        <f t="shared" ref="H13:H24" si="1">$I$4</f>
        <v>Kalıphane Mühendisi-Laboratuvar Mühendisi</v>
      </c>
      <c r="I13" s="77" t="s">
        <v>51</v>
      </c>
      <c r="J13" s="78"/>
      <c r="K13" s="26" t="s">
        <v>44</v>
      </c>
      <c r="L13" s="7"/>
      <c r="M13" s="7"/>
      <c r="N13" s="7"/>
      <c r="O13" s="7"/>
    </row>
    <row r="14" spans="1:15" ht="49.8" customHeight="1" x14ac:dyDescent="0.25">
      <c r="B14" s="8">
        <v>1</v>
      </c>
      <c r="C14" s="37">
        <v>8</v>
      </c>
      <c r="D14" s="6" t="str">
        <f>I2&amp; " süreci "&amp; " ile ilgili uygunsuzlar için etkili düzeltici faaliyetler gerçekleştiriliyor mu? DOKÜMANTE BİLGİ (10.2.2)"</f>
        <v>Bakım Yönetimi süreci  ile ilgili uygunsuzlar için etkili düzeltici faaliyetler gerçekleştiriliyor mu? DOKÜMANTE BİLGİ (10.2.2)</v>
      </c>
      <c r="E14" s="6"/>
      <c r="F14" s="20"/>
      <c r="G14" s="11" t="s">
        <v>19</v>
      </c>
      <c r="H14" s="19" t="str">
        <f t="shared" si="1"/>
        <v>Kalıphane Mühendisi-Laboratuvar Mühendisi</v>
      </c>
      <c r="I14" s="79" t="s">
        <v>72</v>
      </c>
      <c r="J14" s="80"/>
      <c r="K14" s="26" t="s">
        <v>44</v>
      </c>
      <c r="L14" s="7"/>
      <c r="M14" s="7"/>
      <c r="N14" s="7"/>
      <c r="O14" s="7"/>
    </row>
    <row r="15" spans="1:15" ht="40.799999999999997" customHeight="1" x14ac:dyDescent="0.25">
      <c r="B15" s="8">
        <v>1</v>
      </c>
      <c r="C15" s="37">
        <v>9</v>
      </c>
      <c r="D15" s="6" t="str">
        <f>I2&amp; " süreci, "&amp;  "analiz ve değerlendirmenin sonuçlarını, yönetimin gözden geçirmesi çıktılarını iyileştirme faaliyetlerini belirlemek için kullanmakta mıdır?"</f>
        <v>Bakım Yönetimi süreci, analiz ve değerlendirmenin sonuçlarını, yönetimin gözden geçirmesi çıktılarını iyileştirme faaliyetlerini belirlemek için kullanmakta mıdır?</v>
      </c>
      <c r="E15" s="6"/>
      <c r="F15" s="20"/>
      <c r="G15" s="11" t="s">
        <v>20</v>
      </c>
      <c r="H15" s="19" t="str">
        <f t="shared" si="1"/>
        <v>Kalıphane Mühendisi-Laboratuvar Mühendisi</v>
      </c>
      <c r="I15" s="79" t="s">
        <v>52</v>
      </c>
      <c r="J15" s="80"/>
      <c r="K15" s="26" t="s">
        <v>44</v>
      </c>
      <c r="L15" s="7"/>
      <c r="M15" s="7"/>
      <c r="N15" s="7"/>
      <c r="O15" s="7"/>
    </row>
    <row r="16" spans="1:15" ht="40.799999999999997" x14ac:dyDescent="0.25">
      <c r="B16" s="8">
        <v>2</v>
      </c>
      <c r="C16" s="37">
        <v>10</v>
      </c>
      <c r="D16" s="6" t="str">
        <f>I2&amp; " sürecinin; "&amp;  "altyapısı için ihtiyaçları belirlenmiş, sağlanmış mıdır, prosese ait altyapının bakımları gerçekleştirilmekte midir?"</f>
        <v>Bakım Yönetimi sürecinin; altyapısı için ihtiyaçları belirlenmiş, sağlanmış mıdır, prosese ait altyapının bakımları gerçekleştirilmekte midir?</v>
      </c>
      <c r="E16" s="6"/>
      <c r="F16" s="20"/>
      <c r="G16" s="11" t="s">
        <v>22</v>
      </c>
      <c r="H16" s="19" t="str">
        <f t="shared" si="1"/>
        <v>Kalıphane Mühendisi-Laboratuvar Mühendisi</v>
      </c>
      <c r="I16" s="79"/>
      <c r="J16" s="80"/>
      <c r="K16" s="26" t="s">
        <v>44</v>
      </c>
      <c r="L16" s="7"/>
      <c r="M16" s="7"/>
      <c r="N16" s="7"/>
      <c r="O16" s="7"/>
    </row>
    <row r="17" spans="2:15" ht="40.799999999999997" x14ac:dyDescent="0.25">
      <c r="B17" s="8">
        <v>2</v>
      </c>
      <c r="C17" s="37">
        <v>11</v>
      </c>
      <c r="D17" s="6" t="str">
        <f>I2&amp; " sürecinin; "&amp; "çalışmalarını etkin şekilde yürütmesi için çevre şartları sağlanmış mıdır?"</f>
        <v>Bakım Yönetimi sürecinin; çalışmalarını etkin şekilde yürütmesi için çevre şartları sağlanmış mıdır?</v>
      </c>
      <c r="E17" s="6"/>
      <c r="F17" s="20"/>
      <c r="G17" s="11" t="s">
        <v>23</v>
      </c>
      <c r="H17" s="19" t="str">
        <f t="shared" si="1"/>
        <v>Kalıphane Mühendisi-Laboratuvar Mühendisi</v>
      </c>
      <c r="I17" s="65" t="s">
        <v>54</v>
      </c>
      <c r="J17" s="66"/>
      <c r="K17" s="26" t="s">
        <v>44</v>
      </c>
      <c r="L17" s="7"/>
      <c r="M17" s="7"/>
      <c r="N17" s="7"/>
      <c r="O17" s="7"/>
    </row>
    <row r="18" spans="2:15" ht="69.75" customHeight="1" x14ac:dyDescent="0.25">
      <c r="B18" s="8">
        <v>2</v>
      </c>
      <c r="C18" s="37">
        <v>12</v>
      </c>
      <c r="D18" s="6" t="str">
        <f>I2&amp; " sürecinin "&amp; "amaca uygun izleme ve ölçme ekipmanlarını kullanıyor, bunları tanımlıyor, izlenebilirliğini sağlıyor mu"</f>
        <v>Bakım Yönetimi sürecinin amaca uygun izleme ve ölçme ekipmanlarını kullanıyor, bunları tanımlıyor, izlenebilirliğini sağlıyor mu</v>
      </c>
      <c r="E18" s="6"/>
      <c r="F18" s="20"/>
      <c r="G18" s="11" t="s">
        <v>24</v>
      </c>
      <c r="H18" s="19" t="str">
        <f t="shared" si="1"/>
        <v>Kalıphane Mühendisi-Laboratuvar Mühendisi</v>
      </c>
      <c r="I18" s="77" t="s">
        <v>76</v>
      </c>
      <c r="J18" s="78"/>
      <c r="K18" s="26" t="s">
        <v>44</v>
      </c>
      <c r="L18" s="7"/>
      <c r="M18" s="24"/>
      <c r="N18" s="7"/>
      <c r="O18" s="24"/>
    </row>
    <row r="19" spans="2:15" ht="52.8" customHeight="1" x14ac:dyDescent="0.25">
      <c r="B19" s="8">
        <v>2</v>
      </c>
      <c r="C19" s="37">
        <v>13</v>
      </c>
      <c r="D19" s="6" t="str">
        <f>I2&amp; " sürecinin "&amp; "ölçme ekipmanlarının uluslararası izlenebilir doğrulama ve kalibrasyon faaliyetlerini gerçekleştiriyor, doğrulama ve kalibrasyon sonuçları ile ilgili gerekli tedbirleri alıyor mu? DOKÜMANTE BİLGİ (7.1.5.1)"</f>
        <v>Bakım Yönetimi sürecinin ölçme ekipmanlarının uluslararası izlenebilir doğrulama ve kalibrasyon faaliyetlerini gerçekleştiriyor, doğrulama ve kalibrasyon sonuçları ile ilgili gerekli tedbirleri alıyor mu? DOKÜMANTE BİLGİ (7.1.5.1)</v>
      </c>
      <c r="E19" s="6"/>
      <c r="F19" s="20"/>
      <c r="G19" s="11" t="s">
        <v>24</v>
      </c>
      <c r="H19" s="19" t="str">
        <f t="shared" si="1"/>
        <v>Kalıphane Mühendisi-Laboratuvar Mühendisi</v>
      </c>
      <c r="I19" s="77" t="s">
        <v>76</v>
      </c>
      <c r="J19" s="78"/>
      <c r="K19" s="26" t="s">
        <v>44</v>
      </c>
      <c r="L19" s="7"/>
      <c r="M19" s="24"/>
      <c r="N19" s="7"/>
      <c r="O19" s="24"/>
    </row>
    <row r="20" spans="2:15" ht="40.799999999999997" x14ac:dyDescent="0.25">
      <c r="B20" s="8">
        <v>3</v>
      </c>
      <c r="C20" s="37">
        <v>14</v>
      </c>
      <c r="D20" s="18" t="str">
        <f>I2&amp; " sürecinin "&amp; "organizasyonu kalite politikasını ulaşıyormu ve özünü ifade edebiliyor mu? DOKÜMANTE BİLGİ (5.2.2.a)"</f>
        <v>Bakım Yönetimi sürecinin organizasyonu kalite politikasını ulaşıyormu ve özünü ifade edebiliyor mu? DOKÜMANTE BİLGİ (5.2.2.a)</v>
      </c>
      <c r="E20" s="18"/>
      <c r="F20" s="20"/>
      <c r="G20" s="11" t="s">
        <v>25</v>
      </c>
      <c r="H20" s="19" t="str">
        <f t="shared" si="1"/>
        <v>Kalıphane Mühendisi-Laboratuvar Mühendisi</v>
      </c>
      <c r="I20" s="65" t="s">
        <v>71</v>
      </c>
      <c r="J20" s="66"/>
      <c r="K20" s="26" t="s">
        <v>44</v>
      </c>
      <c r="L20" s="7"/>
      <c r="M20" s="7"/>
      <c r="N20" s="7"/>
      <c r="O20" s="7"/>
    </row>
    <row r="21" spans="2:15" ht="40.799999999999997" customHeight="1" x14ac:dyDescent="0.25">
      <c r="B21" s="8">
        <v>3</v>
      </c>
      <c r="C21" s="37">
        <v>15</v>
      </c>
      <c r="D21" s="18" t="str">
        <f>I2&amp; " sürecinin "&amp; "organizasyonuna ait roller, bu rollere ait görevler yazılı olarak belirlenmiş mi, rol sahipleri bu yazılı görev tanımlarına ulaşıyor ve gereklerini yapıyorlar mı?"</f>
        <v>Bakım Yönetimi sürecinin organizasyonuna ait roller, bu rollere ait görevler yazılı olarak belirlenmiş mi, rol sahipleri bu yazılı görev tanımlarına ulaşıyor ve gereklerini yapıyorlar mı?</v>
      </c>
      <c r="E21" s="18"/>
      <c r="F21" s="20"/>
      <c r="G21" s="11" t="s">
        <v>26</v>
      </c>
      <c r="H21" s="19" t="str">
        <f t="shared" si="1"/>
        <v>Kalıphane Mühendisi-Laboratuvar Mühendisi</v>
      </c>
      <c r="I21" s="65" t="s">
        <v>68</v>
      </c>
      <c r="J21" s="66"/>
      <c r="K21" s="26" t="s">
        <v>44</v>
      </c>
      <c r="L21" s="7"/>
      <c r="M21" s="7"/>
      <c r="N21" s="7"/>
      <c r="O21" s="7"/>
    </row>
    <row r="22" spans="2:15" ht="62.4" customHeight="1" x14ac:dyDescent="0.25">
      <c r="B22" s="8">
        <v>3</v>
      </c>
      <c r="C22" s="37">
        <v>16</v>
      </c>
      <c r="D22" s="18" t="str">
        <f>I2&amp; " sürecinin "&amp; "organizasyonu için yeterlilik tanımlarına uygun personel tayin ve tedarik edilmiş midir?"</f>
        <v>Bakım Yönetimi sürecinin organizasyonu için yeterlilik tanımlarına uygun personel tayin ve tedarik edilmiş midir?</v>
      </c>
      <c r="E22" s="18"/>
      <c r="F22" s="20"/>
      <c r="G22" s="11" t="s">
        <v>27</v>
      </c>
      <c r="H22" s="19" t="str">
        <f t="shared" si="1"/>
        <v>Kalıphane Mühendisi-Laboratuvar Mühendisi</v>
      </c>
      <c r="I22" s="65" t="s">
        <v>75</v>
      </c>
      <c r="J22" s="66"/>
      <c r="K22" s="26" t="s">
        <v>44</v>
      </c>
      <c r="L22" s="7"/>
      <c r="M22" s="7"/>
      <c r="N22" s="7"/>
      <c r="O22" s="7"/>
    </row>
    <row r="23" spans="2:15" ht="72" customHeight="1" x14ac:dyDescent="0.25">
      <c r="B23" s="8">
        <v>3</v>
      </c>
      <c r="C23" s="37">
        <v>17</v>
      </c>
      <c r="D23" s="18" t="str">
        <f>I2&amp; " sürecinin "&amp; "organizasyonunda yer alan roller için yeterlilikler belirlenmiş ve bu yeterliliklerin sağlanması için eğitim vb. faaliyetler gerçekleştiriliyor ve etkinliği değerlendiriliyor mu? DOKÜMANTE BİLGİ (7.2.d)"</f>
        <v>Bakım Yönetimi sürecinin organizasyonunda yer alan roller için yeterlilikler belirlenmiş ve bu yeterliliklerin sağlanması için eğitim vb. faaliyetler gerçekleştiriliyor ve etkinliği değerlendiriliyor mu? DOKÜMANTE BİLGİ (7.2.d)</v>
      </c>
      <c r="E23" s="18"/>
      <c r="F23" s="20"/>
      <c r="G23" s="11" t="s">
        <v>28</v>
      </c>
      <c r="H23" s="19" t="str">
        <f t="shared" si="1"/>
        <v>Kalıphane Mühendisi-Laboratuvar Mühendisi</v>
      </c>
      <c r="I23" s="65" t="s">
        <v>75</v>
      </c>
      <c r="J23" s="66"/>
      <c r="K23" s="26" t="s">
        <v>44</v>
      </c>
      <c r="L23" s="7"/>
      <c r="M23" s="7"/>
      <c r="N23" s="7"/>
      <c r="O23" s="7"/>
    </row>
    <row r="24" spans="2:15" ht="60.6" customHeight="1" x14ac:dyDescent="0.25">
      <c r="B24" s="8">
        <v>3</v>
      </c>
      <c r="C24" s="37">
        <v>18</v>
      </c>
      <c r="D24" s="18" t="str">
        <f>I2&amp; " sürecinin "&amp; "organizasyonunda görev alan personelin, amaçlara ulaşmak veya amaçlardan sapma konularında farkındalıkları yeterli midir?"</f>
        <v>Bakım Yönetimi sürecinin organizasyonunda görev alan personelin, amaçlara ulaşmak veya amaçlardan sapma konularında farkındalıkları yeterli midir?</v>
      </c>
      <c r="E24" s="18"/>
      <c r="F24" s="20"/>
      <c r="G24" s="11" t="s">
        <v>29</v>
      </c>
      <c r="H24" s="19" t="str">
        <f t="shared" si="1"/>
        <v>Kalıphane Mühendisi-Laboratuvar Mühendisi</v>
      </c>
      <c r="I24" s="65" t="s">
        <v>75</v>
      </c>
      <c r="J24" s="66"/>
      <c r="K24" s="26" t="s">
        <v>44</v>
      </c>
      <c r="L24" s="7"/>
      <c r="M24" s="7"/>
      <c r="N24" s="7"/>
      <c r="O24" s="7"/>
    </row>
    <row r="25" spans="2:15" ht="30.6" x14ac:dyDescent="0.25">
      <c r="C25" s="37">
        <v>38</v>
      </c>
      <c r="D25" s="43" t="s">
        <v>58</v>
      </c>
      <c r="E25" s="44">
        <v>1</v>
      </c>
      <c r="F25" s="44"/>
      <c r="G25" s="45" t="s">
        <v>59</v>
      </c>
      <c r="H25" s="46" t="s">
        <v>60</v>
      </c>
      <c r="I25" s="59" t="s">
        <v>73</v>
      </c>
      <c r="J25" s="58"/>
      <c r="K25" s="26" t="s">
        <v>44</v>
      </c>
      <c r="L25" s="7"/>
      <c r="M25" s="7"/>
      <c r="N25" s="7"/>
      <c r="O25" s="7"/>
    </row>
    <row r="26" spans="2:15" ht="95.4" customHeight="1" x14ac:dyDescent="0.25">
      <c r="C26" s="37">
        <v>39</v>
      </c>
      <c r="D26" s="43" t="s">
        <v>61</v>
      </c>
      <c r="E26" s="44" t="s">
        <v>41</v>
      </c>
      <c r="F26" s="44"/>
      <c r="G26" s="45" t="s">
        <v>59</v>
      </c>
      <c r="H26" s="46" t="s">
        <v>60</v>
      </c>
      <c r="I26" s="59" t="s">
        <v>81</v>
      </c>
      <c r="J26" s="58"/>
      <c r="L26" s="7"/>
      <c r="M26" s="7"/>
      <c r="N26" s="26" t="s">
        <v>44</v>
      </c>
      <c r="O26" s="7"/>
    </row>
    <row r="27" spans="2:15" ht="30.6" customHeight="1" x14ac:dyDescent="0.25">
      <c r="C27" s="37">
        <v>40</v>
      </c>
      <c r="D27" s="43" t="s">
        <v>62</v>
      </c>
      <c r="E27" s="44">
        <v>4</v>
      </c>
      <c r="F27" s="44"/>
      <c r="G27" s="45" t="s">
        <v>59</v>
      </c>
      <c r="H27" s="46" t="s">
        <v>60</v>
      </c>
      <c r="I27" s="59" t="s">
        <v>80</v>
      </c>
      <c r="J27" s="58"/>
      <c r="K27" s="26" t="s">
        <v>44</v>
      </c>
      <c r="L27" s="7"/>
      <c r="M27" s="7"/>
      <c r="N27" s="7"/>
      <c r="O27" s="7"/>
    </row>
    <row r="28" spans="2:15" ht="30.6" customHeight="1" x14ac:dyDescent="0.25">
      <c r="C28" s="37">
        <v>41</v>
      </c>
      <c r="D28" s="43" t="s">
        <v>63</v>
      </c>
      <c r="E28" s="44">
        <v>4</v>
      </c>
      <c r="F28" s="44"/>
      <c r="G28" s="45" t="s">
        <v>59</v>
      </c>
      <c r="H28" s="46" t="s">
        <v>60</v>
      </c>
      <c r="I28" s="59" t="s">
        <v>80</v>
      </c>
      <c r="J28" s="58"/>
      <c r="K28" s="26" t="s">
        <v>44</v>
      </c>
      <c r="L28" s="7"/>
      <c r="M28" s="7"/>
      <c r="N28" s="7"/>
      <c r="O28" s="7"/>
    </row>
    <row r="29" spans="2:15" ht="40.799999999999997" x14ac:dyDescent="0.25">
      <c r="B29" s="8">
        <v>6</v>
      </c>
      <c r="C29" s="37">
        <v>51</v>
      </c>
      <c r="D29" s="6" t="str">
        <f>I2&amp; " sürecinin "&amp; "sürecinin tüm işlemleri için oluşturulmuş ve kontrol edilen prosedü(ler) mevcut mudur?"</f>
        <v>Bakım Yönetimi sürecinin sürecinin tüm işlemleri için oluşturulmuş ve kontrol edilen prosedü(ler) mevcut mudur?</v>
      </c>
      <c r="E29" s="6"/>
      <c r="F29" s="20"/>
      <c r="G29" s="11" t="s">
        <v>30</v>
      </c>
      <c r="H29" s="23" t="str">
        <f>$I$4</f>
        <v>Kalıphane Mühendisi-Laboratuvar Mühendisi</v>
      </c>
      <c r="I29" s="79" t="s">
        <v>42</v>
      </c>
      <c r="J29" s="80"/>
      <c r="K29" s="26" t="s">
        <v>44</v>
      </c>
      <c r="L29" s="7"/>
      <c r="M29" s="7"/>
      <c r="N29" s="7"/>
      <c r="O29" s="7"/>
    </row>
    <row r="30" spans="2:15" ht="40.799999999999997" x14ac:dyDescent="0.25">
      <c r="B30" s="8">
        <v>6</v>
      </c>
      <c r="C30" s="37">
        <v>52</v>
      </c>
      <c r="D30" s="6" t="str">
        <f>I2&amp; " sürecinin "&amp; "performansı ve etkinliği değerlendirilmekte midir? DOKÜMANTE BİLGİ (9.1.1)"</f>
        <v>Bakım Yönetimi sürecinin performansı ve etkinliği değerlendirilmekte midir? DOKÜMANTE BİLGİ (9.1.1)</v>
      </c>
      <c r="E30" s="6"/>
      <c r="F30" s="20"/>
      <c r="G30" s="11" t="s">
        <v>31</v>
      </c>
      <c r="H30" s="19" t="str">
        <f>$I$4</f>
        <v>Kalıphane Mühendisi-Laboratuvar Mühendisi</v>
      </c>
      <c r="I30" s="79" t="s">
        <v>64</v>
      </c>
      <c r="J30" s="80"/>
      <c r="K30" s="26" t="s">
        <v>44</v>
      </c>
      <c r="L30" s="7"/>
      <c r="M30" s="7"/>
      <c r="N30" s="7"/>
      <c r="O30" s="7"/>
    </row>
    <row r="31" spans="2:15" ht="40.799999999999997" x14ac:dyDescent="0.25">
      <c r="B31" s="8">
        <v>6</v>
      </c>
      <c r="C31" s="37">
        <v>53</v>
      </c>
      <c r="D31" s="6" t="str">
        <f>I2&amp; " sürecinin "&amp; "sürecinin müşterlerinin memnuniyeti ölçülüyor mu?"</f>
        <v>Bakım Yönetimi sürecinin sürecinin müşterlerinin memnuniyeti ölçülüyor mu?</v>
      </c>
      <c r="E31" s="6"/>
      <c r="F31" s="20"/>
      <c r="G31" s="11" t="s">
        <v>32</v>
      </c>
      <c r="H31" s="19" t="str">
        <f>$I$4</f>
        <v>Kalıphane Mühendisi-Laboratuvar Mühendisi</v>
      </c>
      <c r="I31" s="79"/>
      <c r="J31" s="80"/>
      <c r="K31" s="26" t="s">
        <v>44</v>
      </c>
      <c r="L31" s="7"/>
      <c r="M31" s="7"/>
      <c r="N31" s="7"/>
      <c r="O31" s="7"/>
    </row>
    <row r="32" spans="2:15" ht="40.799999999999997" x14ac:dyDescent="0.25">
      <c r="C32" s="37">
        <v>54</v>
      </c>
      <c r="D32" s="6" t="str">
        <f>I2&amp; " sürecinin "&amp; "izlenmesi ve ölçülmesine ait sonuçlar, istatitiksel yöntemler ile analiz ediliyor ve değerlendiriliyor mu?"</f>
        <v>Bakım Yönetimi sürecinin izlenmesi ve ölçülmesine ait sonuçlar, istatitiksel yöntemler ile analiz ediliyor ve değerlendiriliyor mu?</v>
      </c>
      <c r="E32" s="6"/>
      <c r="F32" s="20"/>
      <c r="G32" s="11" t="s">
        <v>33</v>
      </c>
      <c r="H32" s="19" t="str">
        <f>$I$4</f>
        <v>Kalıphane Mühendisi-Laboratuvar Mühendisi</v>
      </c>
      <c r="I32" s="79" t="s">
        <v>77</v>
      </c>
      <c r="J32" s="80"/>
      <c r="K32" s="26" t="s">
        <v>44</v>
      </c>
      <c r="L32" s="7"/>
      <c r="M32" s="7"/>
      <c r="N32" s="7"/>
      <c r="O32" s="7"/>
    </row>
    <row r="33" spans="2:14" x14ac:dyDescent="0.25">
      <c r="K33" s="1">
        <v>53</v>
      </c>
      <c r="N33" s="1">
        <v>1</v>
      </c>
    </row>
    <row r="34" spans="2:14" x14ac:dyDescent="0.25">
      <c r="C34" s="21" t="s">
        <v>38</v>
      </c>
    </row>
    <row r="37" spans="2:14" s="27" customFormat="1" ht="15.6" x14ac:dyDescent="0.3">
      <c r="B37" s="28" t="s">
        <v>45</v>
      </c>
      <c r="E37" s="29"/>
      <c r="I37" s="56"/>
      <c r="J37" s="56"/>
      <c r="K37" s="30"/>
    </row>
    <row r="38" spans="2:14" s="27" customFormat="1" ht="14.4" x14ac:dyDescent="0.3">
      <c r="B38" s="31" t="s">
        <v>46</v>
      </c>
      <c r="E38" s="29"/>
      <c r="I38" s="56"/>
      <c r="J38" s="56"/>
    </row>
    <row r="39" spans="2:14" s="27" customFormat="1" ht="17.399999999999999" customHeight="1" x14ac:dyDescent="0.3">
      <c r="B39" s="91" t="s">
        <v>53</v>
      </c>
      <c r="C39" s="92"/>
      <c r="D39" s="93"/>
      <c r="E39" s="29"/>
      <c r="I39" s="56"/>
      <c r="J39" s="56"/>
    </row>
    <row r="40" spans="2:14" s="27" customFormat="1" ht="11.4" hidden="1" customHeight="1" x14ac:dyDescent="0.3">
      <c r="B40" s="94"/>
      <c r="C40" s="95"/>
      <c r="D40" s="96"/>
      <c r="E40" s="29"/>
      <c r="I40" s="56"/>
      <c r="J40" s="56"/>
    </row>
    <row r="41" spans="2:14" s="27" customFormat="1" ht="8.25" customHeight="1" x14ac:dyDescent="0.3">
      <c r="B41" s="32"/>
      <c r="E41" s="29"/>
      <c r="I41" s="56"/>
      <c r="J41" s="56"/>
    </row>
    <row r="42" spans="2:14" s="27" customFormat="1" ht="14.4" x14ac:dyDescent="0.3">
      <c r="B42" s="31" t="s">
        <v>47</v>
      </c>
      <c r="E42" s="29"/>
      <c r="I42" s="56"/>
      <c r="J42" s="56"/>
    </row>
    <row r="43" spans="2:14" s="27" customFormat="1" ht="15" customHeight="1" x14ac:dyDescent="0.3">
      <c r="B43" s="91" t="s">
        <v>55</v>
      </c>
      <c r="C43" s="92"/>
      <c r="D43" s="93"/>
      <c r="E43" s="29"/>
      <c r="I43" s="56"/>
      <c r="J43" s="56"/>
    </row>
    <row r="44" spans="2:14" s="27" customFormat="1" ht="14.4" x14ac:dyDescent="0.3">
      <c r="B44" s="94"/>
      <c r="C44" s="95"/>
      <c r="D44" s="96"/>
      <c r="E44" s="29"/>
      <c r="I44" s="56"/>
      <c r="J44" s="56"/>
    </row>
    <row r="45" spans="2:14" s="27" customFormat="1" ht="7.5" customHeight="1" x14ac:dyDescent="0.3">
      <c r="B45" s="32"/>
      <c r="E45" s="29"/>
      <c r="I45" s="56"/>
      <c r="J45" s="56"/>
    </row>
    <row r="46" spans="2:14" s="27" customFormat="1" ht="14.4" x14ac:dyDescent="0.3">
      <c r="B46" s="31" t="s">
        <v>48</v>
      </c>
      <c r="E46" s="29"/>
      <c r="I46" s="56"/>
      <c r="J46" s="56"/>
    </row>
    <row r="47" spans="2:14" s="27" customFormat="1" ht="14.4" x14ac:dyDescent="0.3">
      <c r="B47" s="91" t="s">
        <v>82</v>
      </c>
      <c r="C47" s="92"/>
      <c r="D47" s="93"/>
      <c r="E47" s="29"/>
      <c r="I47" s="56"/>
      <c r="J47" s="56"/>
    </row>
    <row r="48" spans="2:14" s="27" customFormat="1" ht="14.4" x14ac:dyDescent="0.3">
      <c r="B48" s="94"/>
      <c r="C48" s="95"/>
      <c r="D48" s="96"/>
      <c r="E48" s="29"/>
      <c r="I48" s="56"/>
      <c r="J48" s="56"/>
    </row>
    <row r="49" spans="2:10" s="27" customFormat="1" ht="15.6" x14ac:dyDescent="0.3">
      <c r="B49" s="28" t="s">
        <v>49</v>
      </c>
      <c r="E49" s="29"/>
      <c r="I49" s="56"/>
      <c r="J49" s="56"/>
    </row>
    <row r="50" spans="2:10" s="27" customFormat="1" ht="14.4" x14ac:dyDescent="0.3">
      <c r="B50" s="97">
        <v>100</v>
      </c>
      <c r="C50" s="97"/>
      <c r="D50" s="97"/>
      <c r="E50" s="29"/>
      <c r="I50" s="56"/>
      <c r="J50" s="56"/>
    </row>
    <row r="51" spans="2:10" s="27" customFormat="1" ht="14.4" x14ac:dyDescent="0.3">
      <c r="B51" s="33"/>
      <c r="E51" s="29"/>
      <c r="F51" s="34"/>
      <c r="I51" s="56"/>
      <c r="J51" s="56"/>
    </row>
    <row r="52" spans="2:10" s="27" customFormat="1" ht="14.4" x14ac:dyDescent="0.3">
      <c r="B52" s="33"/>
      <c r="E52" s="29"/>
      <c r="F52" s="34" t="s">
        <v>50</v>
      </c>
      <c r="I52" s="56"/>
      <c r="J52" s="56"/>
    </row>
    <row r="53" spans="2:10" s="27" customFormat="1" ht="14.4" x14ac:dyDescent="0.3">
      <c r="B53" s="33"/>
      <c r="E53" s="29"/>
      <c r="F53" s="35" t="s">
        <v>74</v>
      </c>
      <c r="G53" s="36"/>
      <c r="H53" s="36"/>
      <c r="I53" s="57"/>
      <c r="J53" s="57"/>
    </row>
  </sheetData>
  <mergeCells count="41">
    <mergeCell ref="I10:J10"/>
    <mergeCell ref="B43:D44"/>
    <mergeCell ref="B50:D50"/>
    <mergeCell ref="B39:D40"/>
    <mergeCell ref="B47:D48"/>
    <mergeCell ref="I29:J29"/>
    <mergeCell ref="I30:J30"/>
    <mergeCell ref="I31:J31"/>
    <mergeCell ref="I32:J32"/>
    <mergeCell ref="I22:J22"/>
    <mergeCell ref="I23:J23"/>
    <mergeCell ref="I24:J24"/>
    <mergeCell ref="I18:J18"/>
    <mergeCell ref="I20:J20"/>
    <mergeCell ref="I21:J21"/>
    <mergeCell ref="I19:J19"/>
    <mergeCell ref="C4:D4"/>
    <mergeCell ref="G2:H2"/>
    <mergeCell ref="F5:F6"/>
    <mergeCell ref="D5:D6"/>
    <mergeCell ref="K5:N5"/>
    <mergeCell ref="G5:G6"/>
    <mergeCell ref="I17:J17"/>
    <mergeCell ref="I11:J11"/>
    <mergeCell ref="I12:J12"/>
    <mergeCell ref="I13:J13"/>
    <mergeCell ref="I14:J14"/>
    <mergeCell ref="I15:J15"/>
    <mergeCell ref="I16:J16"/>
    <mergeCell ref="B5:B6"/>
    <mergeCell ref="I5:J6"/>
    <mergeCell ref="I7:J7"/>
    <mergeCell ref="I8:J8"/>
    <mergeCell ref="I9:J9"/>
    <mergeCell ref="H5:H6"/>
    <mergeCell ref="C5:C6"/>
    <mergeCell ref="E5:E6"/>
    <mergeCell ref="I25:J25"/>
    <mergeCell ref="I26:J26"/>
    <mergeCell ref="I27:J27"/>
    <mergeCell ref="I28:J28"/>
  </mergeCells>
  <conditionalFormatting sqref="F7:F24 F29:F32">
    <cfRule type="expression" dxfId="1" priority="7">
      <formula>F7="N/A"</formula>
    </cfRule>
  </conditionalFormatting>
  <conditionalFormatting sqref="F25:F28">
    <cfRule type="expression" dxfId="0" priority="1">
      <formula>F25="N/A"</formula>
    </cfRule>
  </conditionalFormatting>
  <dataValidations count="1">
    <dataValidation type="list" allowBlank="1" showInputMessage="1" showErrorMessage="1" sqref="F7:F32" xr:uid="{00000000-0002-0000-0000-000000000000}">
      <formula1>"N/A"</formula1>
    </dataValidation>
  </dataValidations>
  <printOptions horizontalCentered="1"/>
  <pageMargins left="0.15748031496062992" right="0.15748031496062992" top="0.31496062992125984" bottom="0.35433070866141736" header="0.23622047244094491" footer="0.15748031496062992"/>
  <pageSetup paperSize="9" scale="82" fitToHeight="0" orientation="landscape" verticalDpi="0" r:id="rId1"/>
  <headerFooter>
    <oddFooter>&amp;L&amp;"Arial,Normal"Hazırlayan: PİVOT YÖNETİM DANIŞMANLIĞI&amp;R&amp;"Arial,Normal"Sayfa:&amp;P/&amp;N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SORU LİSTESİ</vt:lpstr>
      <vt:lpstr>'SORU LİSTESİ'!Yazdırma_Alanı</vt:lpstr>
      <vt:lpstr>'SORU LİSTESİ'!Yazdırma_Başlıkları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2025-04-28T13:33:00Z</dcterms:modified>
</cp:coreProperties>
</file>